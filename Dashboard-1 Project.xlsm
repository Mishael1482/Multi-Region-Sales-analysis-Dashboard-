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hidePivotFieldList="1"/>
  <mc:AlternateContent xmlns:mc="http://schemas.openxmlformats.org/markup-compatibility/2006">
    <mc:Choice Requires="x15">
      <x15ac:absPath xmlns:x15ac="http://schemas.microsoft.com/office/spreadsheetml/2010/11/ac" url="D:\Internship Studio\"/>
    </mc:Choice>
  </mc:AlternateContent>
  <xr:revisionPtr revIDLastSave="0" documentId="13_ncr:1_{52D6D87D-820C-470B-B620-17E2FF6D292E}" xr6:coauthVersionLast="45" xr6:coauthVersionMax="45" xr10:uidLastSave="{00000000-0000-0000-0000-000000000000}"/>
  <bookViews>
    <workbookView xWindow="-120" yWindow="-120" windowWidth="20730" windowHeight="11160" tabRatio="775" xr2:uid="{00000000-000D-0000-FFFF-FFFF00000000}"/>
  </bookViews>
  <sheets>
    <sheet name="Dashboard" sheetId="6" r:id="rId1"/>
    <sheet name="RPT (4)" sheetId="34" r:id="rId2"/>
    <sheet name="RPT (3)" sheetId="33" r:id="rId3"/>
    <sheet name="RPT (2)" sheetId="32" r:id="rId4"/>
    <sheet name="RPT" sheetId="31" r:id="rId5"/>
    <sheet name="Info" sheetId="20" r:id="rId6"/>
    <sheet name="Data" sheetId="5" r:id="rId7"/>
    <sheet name="East" sheetId="1" r:id="rId8"/>
    <sheet name="West" sheetId="2" r:id="rId9"/>
    <sheet name="South" sheetId="3" r:id="rId10"/>
    <sheet name="North" sheetId="4" r:id="rId11"/>
  </sheets>
  <definedNames>
    <definedName name="_xlnm._FilterDatabase" localSheetId="10" hidden="1">North!$A$1:$H$11</definedName>
    <definedName name="_xlnm._FilterDatabase" localSheetId="9"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17"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2" i="5" l="1"/>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2" i="5"/>
  <c r="H13" i="4"/>
  <c r="H16" i="1" l="1"/>
  <c r="H15" i="1"/>
  <c r="H14" i="1"/>
  <c r="H13" i="1"/>
  <c r="H12" i="1"/>
  <c r="H16" i="2"/>
  <c r="H15" i="2"/>
  <c r="H14" i="2"/>
  <c r="H13" i="2"/>
  <c r="H12" i="2"/>
  <c r="H16" i="3"/>
  <c r="H15" i="3"/>
  <c r="H14" i="3"/>
  <c r="H13" i="3"/>
  <c r="H12" i="3"/>
  <c r="H17" i="4"/>
  <c r="H16" i="4"/>
  <c r="H15" i="4"/>
  <c r="H14"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<sst xmlns="http://schemas.openxmlformats.org/spreadsheetml/2006/main" count="475" uniqueCount="45">
  <si>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</si>
  <si>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</si>
  <si>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</si>
  <si>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</si>
  <si>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</si>
  <si>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</si>
  <si>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</si>
  <si>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</si>
  <si>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</si>
  <si>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</si>
  <si>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</si>
  <si>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</si>
  <si>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</si>
  <si>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</si>
  <si>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</si>
  <si>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</si>
  <si>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</si>
  <si>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</si>
  <si>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</si>
  <si>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</si>
  <si>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</si>
  <si>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</si>
  <si>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</si>
  <si>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</si>
  <si>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</si>
  <si>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</si>
  <si>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</si>
  <si>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</si>
  <si>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</si>
  <si>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</si>
  <si>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</si>
  <si>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</si>
  <si>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</si>
  <si>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</si>
  <si>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</si>
  <si>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</si>
  <si>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</si>
  <si>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</si>
  <si>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</si>
  <si>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</si>
  <si>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</si>
  <si>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</si>
  <si>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</si>
  <si>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</si>
  <si>
    <t>Sum of 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</si>
</sst>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5"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4" fillId="0" borderId="0" xfId="0"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applyAlignment="1">
      <alignment horizontal="left"/>
    </xf>
  </cellXfs>
  <cellStyles count="1">
    <cellStyle name="Normal" xfId="0" builtinId="0"/>
  </cellStyles>
  <dxfs count="2">
    <dxf>
      <font>
        <b/>
        <i val="0"/>
        <strike val="0"/>
        <condense val="0"/>
        <extend val="0"/>
        <outline val="0"/>
        <shadow val="0"/>
        <u val="none"/>
        <vertAlign val="baseline"/>
        <sz val="11"/>
        <color theme="1"/>
        <name val="Calibri"/>
        <family val="2"/>
        <scheme val="minor"/>
      </font>
    </dxf>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marker>
          <c:symbol val="none"/>
        </c:marker>
        <c:dLbl>
          <c:idx val="0"/>
          <c:delete val="1"/>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2"/>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4"/>
          </a:solidFill>
          <a:ln w="19050">
            <a:solidFill>
              <a:schemeClr val="lt1"/>
            </a:solidFill>
          </a:ln>
          <a:effectLst/>
        </c:spPr>
      </c:pivotFmt>
    </c:pivotFmts>
    <c:plotArea>
      <c:layout/>
      <c:pieChart>
        <c:varyColors val="1"/>
        <c:ser>
          <c:idx val="0"/>
          <c:order val="0"/>
          <c:tx>
            <c:strRef>
              <c:f>RPT!$B$3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C-88C5-4AF0-A357-DFBDE0858E7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E-88C5-4AF0-A357-DFBDE0858E7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0-88C5-4AF0-A357-DFBDE0858E7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2-88C5-4AF0-A357-DFBDE0858E7C}"/>
              </c:ext>
            </c:extLst>
          </c:dPt>
          <c:dPt>
            <c:idx val="4"/>
            <c:bubble3D val="0"/>
            <c:extLst>
              <c:ext xmlns:c16="http://schemas.microsoft.com/office/drawing/2014/chart" uri="{C3380CC4-5D6E-409C-BE32-E72D297353CC}">
                <c16:uniqueId val="{00000014-88C5-4AF0-A357-DFBDE0858E7C}"/>
              </c:ext>
            </c:extLst>
          </c:dPt>
          <c:dPt>
            <c:idx val="5"/>
            <c:bubble3D val="0"/>
            <c:extLst>
              <c:ext xmlns:c16="http://schemas.microsoft.com/office/drawing/2014/chart" uri="{C3380CC4-5D6E-409C-BE32-E72D297353CC}">
                <c16:uniqueId val="{00000016-88C5-4AF0-A357-DFBDE0858E7C}"/>
              </c:ext>
            </c:extLst>
          </c:dPt>
          <c:cat>
            <c:strRef>
              <c:f>RPT!$A$4:$A$8</c:f>
              <c:strCache>
                <c:ptCount val="4"/>
                <c:pt idx="0">
                  <c:v>North</c:v>
                </c:pt>
                <c:pt idx="1">
                  <c:v>East</c:v>
                </c:pt>
                <c:pt idx="2">
                  <c:v>West</c:v>
                </c:pt>
                <c:pt idx="3">
                  <c:v>South</c:v>
                </c:pt>
              </c:strCache>
            </c:strRef>
          </c:cat>
          <c:val>
            <c:numRef>
              <c:f>RPT!$B$4:$B$8</c:f>
              <c:numCache>
                <c:formatCode>General</c:formatCode>
                <c:ptCount val="4"/>
                <c:pt idx="0">
                  <c:v>522134</c:v>
                </c:pt>
                <c:pt idx="1">
                  <c:v>796424</c:v>
                </c:pt>
                <c:pt idx="2">
                  <c:v>811725</c:v>
                </c:pt>
                <c:pt idx="3">
                  <c:v>646327</c:v>
                </c:pt>
              </c:numCache>
            </c:numRef>
          </c:val>
          <c:extLst>
            <c:ext xmlns:c16="http://schemas.microsoft.com/office/drawing/2014/chart" uri="{C3380CC4-5D6E-409C-BE32-E72D297353CC}">
              <c16:uniqueId val="{00000017-88C5-4AF0-A357-DFBDE0858E7C}"/>
            </c:ext>
          </c:extLst>
        </c:ser>
        <c:dLbls>
          <c:showLegendKey val="0"/>
          <c:showVal val="0"/>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pieChart>
        <c:varyColors val="1"/>
        <c:ser>
          <c:idx val="0"/>
          <c:order val="0"/>
          <c:tx>
            <c:strRef>
              <c:f>'RPT (2)'!$B$3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4E-4D0C-987F-1EC42C3EAA7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4E-4D0C-987F-1EC42C3EAA7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4E-4D0C-987F-1EC42C3EAA7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04E-4D0C-987F-1EC42C3EAA7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04E-4D0C-987F-1EC42C3EAA7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04E-4D0C-987F-1EC42C3EAA7F}"/>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449797</c:v>
                </c:pt>
                <c:pt idx="1">
                  <c:v>325964</c:v>
                </c:pt>
                <c:pt idx="2">
                  <c:v>334280</c:v>
                </c:pt>
                <c:pt idx="3">
                  <c:v>482064</c:v>
                </c:pt>
                <c:pt idx="4">
                  <c:v>682083</c:v>
                </c:pt>
                <c:pt idx="5">
                  <c:v>502422</c:v>
                </c:pt>
              </c:numCache>
            </c:numRef>
          </c:val>
          <c:extLst>
            <c:ext xmlns:c16="http://schemas.microsoft.com/office/drawing/2014/chart" uri="{C3380CC4-5D6E-409C-BE32-E72D297353CC}">
              <c16:uniqueId val="{0000000C-A04E-4D0C-987F-1EC42C3EAA7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(3)'!$B$5:$B$9</c:f>
              <c:numCache>
                <c:formatCode>General</c:formatCode>
                <c:ptCount val="4"/>
                <c:pt idx="0">
                  <c:v>41</c:v>
                </c:pt>
                <c:pt idx="1">
                  <c:v>47</c:v>
                </c:pt>
                <c:pt idx="2">
                  <c:v>45</c:v>
                </c:pt>
              </c:numCache>
            </c:numRef>
          </c:val>
          <c:extLst>
            <c:ext xmlns:c16="http://schemas.microsoft.com/office/drawing/2014/chart" uri="{C3380CC4-5D6E-409C-BE32-E72D297353CC}">
              <c16:uniqueId val="{00000000-C1FD-43A3-BC40-85CD14026B51}"/>
            </c:ext>
          </c:extLst>
        </c:ser>
        <c:ser>
          <c:idx val="1"/>
          <c:order val="1"/>
          <c:tx>
            <c:strRef>
              <c:f>'RPT (3)'!$C$3:$C$4</c:f>
              <c:strCache>
                <c:ptCount val="1"/>
                <c:pt idx="0">
                  <c:v>Hard Disc</c:v>
                </c:pt>
              </c:strCache>
            </c:strRef>
          </c:tx>
          <c:spPr>
            <a:solidFill>
              <a:schemeClr val="accent2"/>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(3)'!$C$5:$C$9</c:f>
              <c:numCache>
                <c:formatCode>General</c:formatCode>
                <c:ptCount val="4"/>
                <c:pt idx="1">
                  <c:v>45</c:v>
                </c:pt>
                <c:pt idx="3">
                  <c:v>45</c:v>
                </c:pt>
              </c:numCache>
            </c:numRef>
          </c:val>
          <c:extLst>
            <c:ext xmlns:c16="http://schemas.microsoft.com/office/drawing/2014/chart" uri="{C3380CC4-5D6E-409C-BE32-E72D297353CC}">
              <c16:uniqueId val="{00000007-C1FD-43A3-BC40-85CD14026B51}"/>
            </c:ext>
          </c:extLst>
        </c:ser>
        <c:ser>
          <c:idx val="2"/>
          <c:order val="2"/>
          <c:tx>
            <c:strRef>
              <c:f>'RPT (3)'!$D$3:$D$4</c:f>
              <c:strCache>
                <c:ptCount val="1"/>
                <c:pt idx="0">
                  <c:v>Laptop</c:v>
                </c:pt>
              </c:strCache>
            </c:strRef>
          </c:tx>
          <c:spPr>
            <a:solidFill>
              <a:schemeClr val="accent3"/>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(3)'!$D$5:$D$9</c:f>
              <c:numCache>
                <c:formatCode>General</c:formatCode>
                <c:ptCount val="4"/>
                <c:pt idx="0">
                  <c:v>35</c:v>
                </c:pt>
                <c:pt idx="2">
                  <c:v>58</c:v>
                </c:pt>
              </c:numCache>
            </c:numRef>
          </c:val>
          <c:extLst>
            <c:ext xmlns:c16="http://schemas.microsoft.com/office/drawing/2014/chart" uri="{C3380CC4-5D6E-409C-BE32-E72D297353CC}">
              <c16:uniqueId val="{00000008-C1FD-43A3-BC40-85CD14026B51}"/>
            </c:ext>
          </c:extLst>
        </c:ser>
        <c:ser>
          <c:idx val="3"/>
          <c:order val="3"/>
          <c:tx>
            <c:strRef>
              <c:f>'RPT (3)'!$E$3:$E$4</c:f>
              <c:strCache>
                <c:ptCount val="1"/>
                <c:pt idx="0">
                  <c:v>Mobile</c:v>
                </c:pt>
              </c:strCache>
            </c:strRef>
          </c:tx>
          <c:spPr>
            <a:solidFill>
              <a:schemeClr val="accent4"/>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(3)'!$E$5:$E$9</c:f>
              <c:numCache>
                <c:formatCode>General</c:formatCode>
                <c:ptCount val="4"/>
                <c:pt idx="0">
                  <c:v>5</c:v>
                </c:pt>
                <c:pt idx="1">
                  <c:v>38</c:v>
                </c:pt>
                <c:pt idx="2">
                  <c:v>51</c:v>
                </c:pt>
                <c:pt idx="3">
                  <c:v>32</c:v>
                </c:pt>
              </c:numCache>
            </c:numRef>
          </c:val>
          <c:extLst>
            <c:ext xmlns:c16="http://schemas.microsoft.com/office/drawing/2014/chart" uri="{C3380CC4-5D6E-409C-BE32-E72D297353CC}">
              <c16:uniqueId val="{00000009-C1FD-43A3-BC40-85CD14026B51}"/>
            </c:ext>
          </c:extLst>
        </c:ser>
        <c:ser>
          <c:idx val="4"/>
          <c:order val="4"/>
          <c:tx>
            <c:strRef>
              <c:f>'RPT (3)'!$F$3:$F$4</c:f>
              <c:strCache>
                <c:ptCount val="1"/>
                <c:pt idx="0">
                  <c:v>Table</c:v>
                </c:pt>
              </c:strCache>
            </c:strRef>
          </c:tx>
          <c:spPr>
            <a:solidFill>
              <a:schemeClr val="accent5"/>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(3)'!$F$5:$F$9</c:f>
              <c:numCache>
                <c:formatCode>General</c:formatCode>
                <c:ptCount val="4"/>
                <c:pt idx="0">
                  <c:v>46</c:v>
                </c:pt>
                <c:pt idx="1">
                  <c:v>44</c:v>
                </c:pt>
                <c:pt idx="2">
                  <c:v>42</c:v>
                </c:pt>
                <c:pt idx="3">
                  <c:v>53</c:v>
                </c:pt>
              </c:numCache>
            </c:numRef>
          </c:val>
          <c:extLst>
            <c:ext xmlns:c16="http://schemas.microsoft.com/office/drawing/2014/chart" uri="{C3380CC4-5D6E-409C-BE32-E72D297353CC}">
              <c16:uniqueId val="{0000000A-C1FD-43A3-BC40-85CD14026B51}"/>
            </c:ext>
          </c:extLst>
        </c:ser>
        <c:ser>
          <c:idx val="5"/>
          <c:order val="5"/>
          <c:tx>
            <c:strRef>
              <c:f>'RPT (3)'!$G$3:$G$4</c:f>
              <c:strCache>
                <c:ptCount val="1"/>
                <c:pt idx="0">
                  <c:v>TV</c:v>
                </c:pt>
              </c:strCache>
            </c:strRef>
          </c:tx>
          <c:spPr>
            <a:solidFill>
              <a:schemeClr val="accent6"/>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(3)'!$G$5:$G$9</c:f>
              <c:numCache>
                <c:formatCode>General</c:formatCode>
                <c:ptCount val="4"/>
                <c:pt idx="0">
                  <c:v>10</c:v>
                </c:pt>
                <c:pt idx="1">
                  <c:v>48</c:v>
                </c:pt>
                <c:pt idx="2">
                  <c:v>39</c:v>
                </c:pt>
                <c:pt idx="3">
                  <c:v>50</c:v>
                </c:pt>
              </c:numCache>
            </c:numRef>
          </c:val>
          <c:extLst>
            <c:ext xmlns:c16="http://schemas.microsoft.com/office/drawing/2014/chart" uri="{C3380CC4-5D6E-409C-BE32-E72D297353CC}">
              <c16:uniqueId val="{0000000B-C1FD-43A3-BC40-85CD14026B51}"/>
            </c:ext>
          </c:extLst>
        </c:ser>
        <c:dLbls>
          <c:showLegendKey val="0"/>
          <c:showVal val="0"/>
          <c:showCatName val="0"/>
          <c:showSerName val="0"/>
          <c:showPercent val="0"/>
          <c:showBubbleSize val="0"/>
        </c:dLbls>
        <c:gapWidth val="100"/>
        <c:axId val="390467056"/>
        <c:axId val="390476568"/>
      </c:barChart>
      <c:valAx>
        <c:axId val="390476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67056"/>
        <c:crosses val="autoZero"/>
        <c:crossBetween val="between"/>
      </c:valAx>
      <c:catAx>
        <c:axId val="3904670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765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Sales</a:t>
            </a:r>
          </a:p>
        </c:rich>
      </c:tx>
      <c:layout>
        <c:manualLayout>
          <c:xMode val="edge"/>
          <c:yMode val="edge"/>
          <c:x val="0.36275932395867727"/>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95535</c:v>
                </c:pt>
                <c:pt idx="6">
                  <c:v>100608</c:v>
                </c:pt>
                <c:pt idx="7">
                  <c:v>79956</c:v>
                </c:pt>
                <c:pt idx="8">
                  <c:v>48084</c:v>
                </c:pt>
              </c:numCache>
            </c:numRef>
          </c:val>
          <c:extLst>
            <c:ext xmlns:c16="http://schemas.microsoft.com/office/drawing/2014/chart" uri="{C3380CC4-5D6E-409C-BE32-E72D297353CC}">
              <c16:uniqueId val="{00000000-1930-466B-B3F8-E38DDC6D838A}"/>
            </c:ext>
          </c:extLst>
        </c:ser>
        <c:ser>
          <c:idx val="1"/>
          <c:order val="1"/>
          <c:tx>
            <c:strRef>
              <c:f>'RPT (4)'!$C$3:$C$4</c:f>
              <c:strCache>
                <c:ptCount val="1"/>
                <c:pt idx="0">
                  <c:v>Hard Disc</c:v>
                </c:pt>
              </c:strCache>
            </c:strRef>
          </c:tx>
          <c:spPr>
            <a:solidFill>
              <a:schemeClr val="accent2"/>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77265</c:v>
                </c:pt>
                <c:pt idx="6">
                  <c:v>43077</c:v>
                </c:pt>
                <c:pt idx="9">
                  <c:v>137060</c:v>
                </c:pt>
              </c:numCache>
            </c:numRef>
          </c:val>
          <c:extLst>
            <c:ext xmlns:c16="http://schemas.microsoft.com/office/drawing/2014/chart" uri="{C3380CC4-5D6E-409C-BE32-E72D297353CC}">
              <c16:uniqueId val="{00000007-1930-466B-B3F8-E38DDC6D838A}"/>
            </c:ext>
          </c:extLst>
        </c:ser>
        <c:ser>
          <c:idx val="2"/>
          <c:order val="2"/>
          <c:tx>
            <c:strRef>
              <c:f>'RPT (4)'!$D$3:$D$4</c:f>
              <c:strCache>
                <c:ptCount val="1"/>
                <c:pt idx="0">
                  <c:v>Laptop</c:v>
                </c:pt>
              </c:strCache>
            </c:strRef>
          </c:tx>
          <c:spPr>
            <a:solidFill>
              <a:schemeClr val="accent3"/>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57482</c:v>
                </c:pt>
                <c:pt idx="7">
                  <c:v>19172</c:v>
                </c:pt>
                <c:pt idx="8">
                  <c:v>22040</c:v>
                </c:pt>
                <c:pt idx="9">
                  <c:v>134940</c:v>
                </c:pt>
              </c:numCache>
            </c:numRef>
          </c:val>
          <c:extLst>
            <c:ext xmlns:c16="http://schemas.microsoft.com/office/drawing/2014/chart" uri="{C3380CC4-5D6E-409C-BE32-E72D297353CC}">
              <c16:uniqueId val="{00000008-1930-466B-B3F8-E38DDC6D838A}"/>
            </c:ext>
          </c:extLst>
        </c:ser>
        <c:ser>
          <c:idx val="3"/>
          <c:order val="3"/>
          <c:tx>
            <c:strRef>
              <c:f>'RPT (4)'!$E$3:$E$4</c:f>
              <c:strCache>
                <c:ptCount val="1"/>
                <c:pt idx="0">
                  <c:v>Mobile</c:v>
                </c:pt>
              </c:strCache>
            </c:strRef>
          </c:tx>
          <c:spPr>
            <a:solidFill>
              <a:schemeClr val="accent4"/>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42640</c:v>
                </c:pt>
                <c:pt idx="1">
                  <c:v>29942</c:v>
                </c:pt>
                <c:pt idx="2">
                  <c:v>22220</c:v>
                </c:pt>
                <c:pt idx="5">
                  <c:v>93731</c:v>
                </c:pt>
                <c:pt idx="6">
                  <c:v>130345</c:v>
                </c:pt>
                <c:pt idx="7">
                  <c:v>163186</c:v>
                </c:pt>
              </c:numCache>
            </c:numRef>
          </c:val>
          <c:extLst>
            <c:ext xmlns:c16="http://schemas.microsoft.com/office/drawing/2014/chart" uri="{C3380CC4-5D6E-409C-BE32-E72D297353CC}">
              <c16:uniqueId val="{00000009-1930-466B-B3F8-E38DDC6D838A}"/>
            </c:ext>
          </c:extLst>
        </c:ser>
        <c:ser>
          <c:idx val="4"/>
          <c:order val="4"/>
          <c:tx>
            <c:strRef>
              <c:f>'RPT (4)'!$F$3:$F$4</c:f>
              <c:strCache>
                <c:ptCount val="1"/>
                <c:pt idx="0">
                  <c:v>Table</c:v>
                </c:pt>
              </c:strCache>
            </c:strRef>
          </c:tx>
          <c:spPr>
            <a:solidFill>
              <a:schemeClr val="accent5"/>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60080</c:v>
                </c:pt>
                <c:pt idx="4">
                  <c:v>35030</c:v>
                </c:pt>
                <c:pt idx="5">
                  <c:v>139371</c:v>
                </c:pt>
                <c:pt idx="7">
                  <c:v>113496</c:v>
                </c:pt>
                <c:pt idx="8">
                  <c:v>90748</c:v>
                </c:pt>
                <c:pt idx="9">
                  <c:v>150588</c:v>
                </c:pt>
              </c:numCache>
            </c:numRef>
          </c:val>
          <c:extLst>
            <c:ext xmlns:c16="http://schemas.microsoft.com/office/drawing/2014/chart" uri="{C3380CC4-5D6E-409C-BE32-E72D297353CC}">
              <c16:uniqueId val="{0000000A-1930-466B-B3F8-E38DDC6D838A}"/>
            </c:ext>
          </c:extLst>
        </c:ser>
        <c:ser>
          <c:idx val="5"/>
          <c:order val="5"/>
          <c:tx>
            <c:strRef>
              <c:f>'RPT (4)'!$G$3:$G$4</c:f>
              <c:strCache>
                <c:ptCount val="1"/>
                <c:pt idx="0">
                  <c:v>TV</c:v>
                </c:pt>
              </c:strCache>
            </c:strRef>
          </c:tx>
          <c:spPr>
            <a:solidFill>
              <a:schemeClr val="accent6"/>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43856</c:v>
                </c:pt>
                <c:pt idx="1">
                  <c:v>63536</c:v>
                </c:pt>
                <c:pt idx="3">
                  <c:v>23460</c:v>
                </c:pt>
                <c:pt idx="4">
                  <c:v>74654</c:v>
                </c:pt>
                <c:pt idx="5">
                  <c:v>27951</c:v>
                </c:pt>
                <c:pt idx="6">
                  <c:v>114624</c:v>
                </c:pt>
                <c:pt idx="8">
                  <c:v>109816</c:v>
                </c:pt>
                <c:pt idx="9">
                  <c:v>44525</c:v>
                </c:pt>
              </c:numCache>
            </c:numRef>
          </c:val>
          <c:extLst>
            <c:ext xmlns:c16="http://schemas.microsoft.com/office/drawing/2014/chart" uri="{C3380CC4-5D6E-409C-BE32-E72D297353CC}">
              <c16:uniqueId val="{0000000B-1930-466B-B3F8-E38DDC6D838A}"/>
            </c:ext>
          </c:extLst>
        </c:ser>
        <c:dLbls>
          <c:showLegendKey val="0"/>
          <c:showVal val="0"/>
          <c:showCatName val="0"/>
          <c:showSerName val="0"/>
          <c:showPercent val="0"/>
          <c:showBubbleSize val="0"/>
        </c:dLbls>
        <c:gapWidth val="100"/>
        <c:axId val="390468040"/>
        <c:axId val="390468368"/>
      </c:barChart>
      <c:catAx>
        <c:axId val="390468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68368"/>
        <c:crosses val="autoZero"/>
        <c:auto val="1"/>
        <c:lblAlgn val="ctr"/>
        <c:lblOffset val="100"/>
        <c:noMultiLvlLbl val="0"/>
      </c:catAx>
      <c:valAx>
        <c:axId val="390468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68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(4)!PivotTable3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Sales</a:t>
            </a:r>
          </a:p>
        </c:rich>
      </c:tx>
      <c:layout>
        <c:manualLayout>
          <c:xMode val="edge"/>
          <c:yMode val="edge"/>
          <c:x val="0.36275932395867727"/>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95535</c:v>
                </c:pt>
                <c:pt idx="6">
                  <c:v>100608</c:v>
                </c:pt>
                <c:pt idx="7">
                  <c:v>79956</c:v>
                </c:pt>
                <c:pt idx="8">
                  <c:v>48084</c:v>
                </c:pt>
              </c:numCache>
            </c:numRef>
          </c:val>
          <c:extLst>
            <c:ext xmlns:c16="http://schemas.microsoft.com/office/drawing/2014/chart" uri="{C3380CC4-5D6E-409C-BE32-E72D297353CC}">
              <c16:uniqueId val="{00000008-1366-463A-B85E-0E09EA59AB63}"/>
            </c:ext>
          </c:extLst>
        </c:ser>
        <c:ser>
          <c:idx val="1"/>
          <c:order val="1"/>
          <c:tx>
            <c:strRef>
              <c:f>'RPT (4)'!$C$3:$C$4</c:f>
              <c:strCache>
                <c:ptCount val="1"/>
                <c:pt idx="0">
                  <c:v>Hard Disc</c:v>
                </c:pt>
              </c:strCache>
            </c:strRef>
          </c:tx>
          <c:spPr>
            <a:solidFill>
              <a:schemeClr val="accent2"/>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77265</c:v>
                </c:pt>
                <c:pt idx="6">
                  <c:v>43077</c:v>
                </c:pt>
                <c:pt idx="9">
                  <c:v>137060</c:v>
                </c:pt>
              </c:numCache>
            </c:numRef>
          </c:val>
          <c:extLst>
            <c:ext xmlns:c16="http://schemas.microsoft.com/office/drawing/2014/chart" uri="{C3380CC4-5D6E-409C-BE32-E72D297353CC}">
              <c16:uniqueId val="{0000000F-1366-463A-B85E-0E09EA59AB63}"/>
            </c:ext>
          </c:extLst>
        </c:ser>
        <c:ser>
          <c:idx val="2"/>
          <c:order val="2"/>
          <c:tx>
            <c:strRef>
              <c:f>'RPT (4)'!$D$3:$D$4</c:f>
              <c:strCache>
                <c:ptCount val="1"/>
                <c:pt idx="0">
                  <c:v>Laptop</c:v>
                </c:pt>
              </c:strCache>
            </c:strRef>
          </c:tx>
          <c:spPr>
            <a:solidFill>
              <a:schemeClr val="accent3"/>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57482</c:v>
                </c:pt>
                <c:pt idx="7">
                  <c:v>19172</c:v>
                </c:pt>
                <c:pt idx="8">
                  <c:v>22040</c:v>
                </c:pt>
                <c:pt idx="9">
                  <c:v>134940</c:v>
                </c:pt>
              </c:numCache>
            </c:numRef>
          </c:val>
          <c:extLst>
            <c:ext xmlns:c16="http://schemas.microsoft.com/office/drawing/2014/chart" uri="{C3380CC4-5D6E-409C-BE32-E72D297353CC}">
              <c16:uniqueId val="{00000010-1366-463A-B85E-0E09EA59AB63}"/>
            </c:ext>
          </c:extLst>
        </c:ser>
        <c:ser>
          <c:idx val="3"/>
          <c:order val="3"/>
          <c:tx>
            <c:strRef>
              <c:f>'RPT (4)'!$E$3:$E$4</c:f>
              <c:strCache>
                <c:ptCount val="1"/>
                <c:pt idx="0">
                  <c:v>Mobile</c:v>
                </c:pt>
              </c:strCache>
            </c:strRef>
          </c:tx>
          <c:spPr>
            <a:solidFill>
              <a:schemeClr val="accent4"/>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42640</c:v>
                </c:pt>
                <c:pt idx="1">
                  <c:v>29942</c:v>
                </c:pt>
                <c:pt idx="2">
                  <c:v>22220</c:v>
                </c:pt>
                <c:pt idx="5">
                  <c:v>93731</c:v>
                </c:pt>
                <c:pt idx="6">
                  <c:v>130345</c:v>
                </c:pt>
                <c:pt idx="7">
                  <c:v>163186</c:v>
                </c:pt>
              </c:numCache>
            </c:numRef>
          </c:val>
          <c:extLst>
            <c:ext xmlns:c16="http://schemas.microsoft.com/office/drawing/2014/chart" uri="{C3380CC4-5D6E-409C-BE32-E72D297353CC}">
              <c16:uniqueId val="{00000011-1366-463A-B85E-0E09EA59AB63}"/>
            </c:ext>
          </c:extLst>
        </c:ser>
        <c:ser>
          <c:idx val="4"/>
          <c:order val="4"/>
          <c:tx>
            <c:strRef>
              <c:f>'RPT (4)'!$F$3:$F$4</c:f>
              <c:strCache>
                <c:ptCount val="1"/>
                <c:pt idx="0">
                  <c:v>Table</c:v>
                </c:pt>
              </c:strCache>
            </c:strRef>
          </c:tx>
          <c:spPr>
            <a:solidFill>
              <a:schemeClr val="accent5"/>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60080</c:v>
                </c:pt>
                <c:pt idx="4">
                  <c:v>35030</c:v>
                </c:pt>
                <c:pt idx="5">
                  <c:v>139371</c:v>
                </c:pt>
                <c:pt idx="7">
                  <c:v>113496</c:v>
                </c:pt>
                <c:pt idx="8">
                  <c:v>90748</c:v>
                </c:pt>
                <c:pt idx="9">
                  <c:v>150588</c:v>
                </c:pt>
              </c:numCache>
            </c:numRef>
          </c:val>
          <c:extLst>
            <c:ext xmlns:c16="http://schemas.microsoft.com/office/drawing/2014/chart" uri="{C3380CC4-5D6E-409C-BE32-E72D297353CC}">
              <c16:uniqueId val="{00000012-1366-463A-B85E-0E09EA59AB63}"/>
            </c:ext>
          </c:extLst>
        </c:ser>
        <c:ser>
          <c:idx val="5"/>
          <c:order val="5"/>
          <c:tx>
            <c:strRef>
              <c:f>'RPT (4)'!$G$3:$G$4</c:f>
              <c:strCache>
                <c:ptCount val="1"/>
                <c:pt idx="0">
                  <c:v>TV</c:v>
                </c:pt>
              </c:strCache>
            </c:strRef>
          </c:tx>
          <c:spPr>
            <a:solidFill>
              <a:schemeClr val="accent6"/>
            </a:solidFill>
            <a:ln w="19050">
              <a:solidFill>
                <a:schemeClr val="lt1"/>
              </a:solid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43856</c:v>
                </c:pt>
                <c:pt idx="1">
                  <c:v>63536</c:v>
                </c:pt>
                <c:pt idx="3">
                  <c:v>23460</c:v>
                </c:pt>
                <c:pt idx="4">
                  <c:v>74654</c:v>
                </c:pt>
                <c:pt idx="5">
                  <c:v>27951</c:v>
                </c:pt>
                <c:pt idx="6">
                  <c:v>114624</c:v>
                </c:pt>
                <c:pt idx="8">
                  <c:v>109816</c:v>
                </c:pt>
                <c:pt idx="9">
                  <c:v>44525</c:v>
                </c:pt>
              </c:numCache>
            </c:numRef>
          </c:val>
          <c:extLst>
            <c:ext xmlns:c16="http://schemas.microsoft.com/office/drawing/2014/chart" uri="{C3380CC4-5D6E-409C-BE32-E72D297353CC}">
              <c16:uniqueId val="{00000013-1366-463A-B85E-0E09EA59AB63}"/>
            </c:ext>
          </c:extLst>
        </c:ser>
        <c:dLbls>
          <c:showLegendKey val="0"/>
          <c:showVal val="0"/>
          <c:showCatName val="0"/>
          <c:showSerName val="0"/>
          <c:showPercent val="0"/>
          <c:showBubbleSize val="0"/>
        </c:dLbls>
        <c:gapWidth val="100"/>
        <c:axId val="390468040"/>
        <c:axId val="390468368"/>
      </c:barChart>
      <c:catAx>
        <c:axId val="3904680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68368"/>
        <c:auto val="1"/>
        <c:lblAlgn val="ctr"/>
        <c:lblOffset val="100"/>
        <c:noMultiLvlLbl val="0"/>
      </c:catAx>
      <c:valAx>
        <c:axId val="390468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68040"/>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(3)!PivotTable3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(3)'!$B$5:$B$9</c:f>
              <c:numCache>
                <c:formatCode>General</c:formatCode>
                <c:ptCount val="4"/>
                <c:pt idx="0">
                  <c:v>41</c:v>
                </c:pt>
                <c:pt idx="1">
                  <c:v>47</c:v>
                </c:pt>
                <c:pt idx="2">
                  <c:v>45</c:v>
                </c:pt>
              </c:numCache>
            </c:numRef>
          </c:val>
          <c:extLst>
            <c:ext xmlns:c16="http://schemas.microsoft.com/office/drawing/2014/chart" uri="{C3380CC4-5D6E-409C-BE32-E72D297353CC}">
              <c16:uniqueId val="{00000008-B591-45E6-9CA3-76F75DE29C0A}"/>
            </c:ext>
          </c:extLst>
        </c:ser>
        <c:ser>
          <c:idx val="1"/>
          <c:order val="1"/>
          <c:tx>
            <c:strRef>
              <c:f>'RPT (3)'!$C$3:$C$4</c:f>
              <c:strCache>
                <c:ptCount val="1"/>
                <c:pt idx="0">
                  <c:v>Hard Disc</c:v>
                </c:pt>
              </c:strCache>
            </c:strRef>
          </c:tx>
          <c:spPr>
            <a:solidFill>
              <a:schemeClr val="accent2"/>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(3)'!$C$5:$C$9</c:f>
              <c:numCache>
                <c:formatCode>General</c:formatCode>
                <c:ptCount val="4"/>
                <c:pt idx="1">
                  <c:v>45</c:v>
                </c:pt>
                <c:pt idx="3">
                  <c:v>45</c:v>
                </c:pt>
              </c:numCache>
            </c:numRef>
          </c:val>
          <c:extLst>
            <c:ext xmlns:c16="http://schemas.microsoft.com/office/drawing/2014/chart" uri="{C3380CC4-5D6E-409C-BE32-E72D297353CC}">
              <c16:uniqueId val="{00000010-B591-45E6-9CA3-76F75DE29C0A}"/>
            </c:ext>
          </c:extLst>
        </c:ser>
        <c:ser>
          <c:idx val="2"/>
          <c:order val="2"/>
          <c:tx>
            <c:strRef>
              <c:f>'RPT (3)'!$D$3:$D$4</c:f>
              <c:strCache>
                <c:ptCount val="1"/>
                <c:pt idx="0">
                  <c:v>Laptop</c:v>
                </c:pt>
              </c:strCache>
            </c:strRef>
          </c:tx>
          <c:spPr>
            <a:solidFill>
              <a:schemeClr val="accent3"/>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(3)'!$D$5:$D$9</c:f>
              <c:numCache>
                <c:formatCode>General</c:formatCode>
                <c:ptCount val="4"/>
                <c:pt idx="0">
                  <c:v>35</c:v>
                </c:pt>
                <c:pt idx="2">
                  <c:v>58</c:v>
                </c:pt>
              </c:numCache>
            </c:numRef>
          </c:val>
          <c:extLst>
            <c:ext xmlns:c16="http://schemas.microsoft.com/office/drawing/2014/chart" uri="{C3380CC4-5D6E-409C-BE32-E72D297353CC}">
              <c16:uniqueId val="{00000011-B591-45E6-9CA3-76F75DE29C0A}"/>
            </c:ext>
          </c:extLst>
        </c:ser>
        <c:ser>
          <c:idx val="3"/>
          <c:order val="3"/>
          <c:tx>
            <c:strRef>
              <c:f>'RPT (3)'!$E$3:$E$4</c:f>
              <c:strCache>
                <c:ptCount val="1"/>
                <c:pt idx="0">
                  <c:v>Mobile</c:v>
                </c:pt>
              </c:strCache>
            </c:strRef>
          </c:tx>
          <c:spPr>
            <a:solidFill>
              <a:schemeClr val="accent4"/>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(3)'!$E$5:$E$9</c:f>
              <c:numCache>
                <c:formatCode>General</c:formatCode>
                <c:ptCount val="4"/>
                <c:pt idx="0">
                  <c:v>5</c:v>
                </c:pt>
                <c:pt idx="1">
                  <c:v>38</c:v>
                </c:pt>
                <c:pt idx="2">
                  <c:v>51</c:v>
                </c:pt>
                <c:pt idx="3">
                  <c:v>32</c:v>
                </c:pt>
              </c:numCache>
            </c:numRef>
          </c:val>
          <c:extLst>
            <c:ext xmlns:c16="http://schemas.microsoft.com/office/drawing/2014/chart" uri="{C3380CC4-5D6E-409C-BE32-E72D297353CC}">
              <c16:uniqueId val="{00000012-B591-45E6-9CA3-76F75DE29C0A}"/>
            </c:ext>
          </c:extLst>
        </c:ser>
        <c:ser>
          <c:idx val="4"/>
          <c:order val="4"/>
          <c:tx>
            <c:strRef>
              <c:f>'RPT (3)'!$F$3:$F$4</c:f>
              <c:strCache>
                <c:ptCount val="1"/>
                <c:pt idx="0">
                  <c:v>Table</c:v>
                </c:pt>
              </c:strCache>
            </c:strRef>
          </c:tx>
          <c:spPr>
            <a:solidFill>
              <a:schemeClr val="accent5"/>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(3)'!$F$5:$F$9</c:f>
              <c:numCache>
                <c:formatCode>General</c:formatCode>
                <c:ptCount val="4"/>
                <c:pt idx="0">
                  <c:v>46</c:v>
                </c:pt>
                <c:pt idx="1">
                  <c:v>44</c:v>
                </c:pt>
                <c:pt idx="2">
                  <c:v>42</c:v>
                </c:pt>
                <c:pt idx="3">
                  <c:v>53</c:v>
                </c:pt>
              </c:numCache>
            </c:numRef>
          </c:val>
          <c:extLst>
            <c:ext xmlns:c16="http://schemas.microsoft.com/office/drawing/2014/chart" uri="{C3380CC4-5D6E-409C-BE32-E72D297353CC}">
              <c16:uniqueId val="{00000013-B591-45E6-9CA3-76F75DE29C0A}"/>
            </c:ext>
          </c:extLst>
        </c:ser>
        <c:ser>
          <c:idx val="5"/>
          <c:order val="5"/>
          <c:tx>
            <c:strRef>
              <c:f>'RPT (3)'!$G$3:$G$4</c:f>
              <c:strCache>
                <c:ptCount val="1"/>
                <c:pt idx="0">
                  <c:v>TV</c:v>
                </c:pt>
              </c:strCache>
            </c:strRef>
          </c:tx>
          <c:spPr>
            <a:solidFill>
              <a:schemeClr val="accent6"/>
            </a:solidFill>
            <a:ln w="19050">
              <a:solidFill>
                <a:schemeClr val="lt1"/>
              </a:solidFill>
            </a:ln>
            <a:effectLst/>
          </c:spPr>
          <c:invertIfNegative val="0"/>
          <c:cat>
            <c:strRef>
              <c:f>'RPT (3)'!$A$5:$A$9</c:f>
              <c:strCache>
                <c:ptCount val="4"/>
                <c:pt idx="0">
                  <c:v>North</c:v>
                </c:pt>
                <c:pt idx="1">
                  <c:v>East</c:v>
                </c:pt>
                <c:pt idx="2">
                  <c:v>West</c:v>
                </c:pt>
                <c:pt idx="3">
                  <c:v>South</c:v>
                </c:pt>
              </c:strCache>
            </c:strRef>
          </c:cat>
          <c:val>
            <c:numRef>
              <c:f>'RPT (3)'!$G$5:$G$9</c:f>
              <c:numCache>
                <c:formatCode>General</c:formatCode>
                <c:ptCount val="4"/>
                <c:pt idx="0">
                  <c:v>10</c:v>
                </c:pt>
                <c:pt idx="1">
                  <c:v>48</c:v>
                </c:pt>
                <c:pt idx="2">
                  <c:v>39</c:v>
                </c:pt>
                <c:pt idx="3">
                  <c:v>50</c:v>
                </c:pt>
              </c:numCache>
            </c:numRef>
          </c:val>
          <c:extLst>
            <c:ext xmlns:c16="http://schemas.microsoft.com/office/drawing/2014/chart" uri="{C3380CC4-5D6E-409C-BE32-E72D297353CC}">
              <c16:uniqueId val="{00000014-B591-45E6-9CA3-76F75DE29C0A}"/>
            </c:ext>
          </c:extLst>
        </c:ser>
        <c:dLbls>
          <c:showLegendKey val="0"/>
          <c:showVal val="0"/>
          <c:showCatName val="0"/>
          <c:showSerName val="0"/>
          <c:showPercent val="0"/>
          <c:showBubbleSize val="0"/>
        </c:dLbls>
        <c:gapWidth val="100"/>
        <c:axId val="390467056"/>
        <c:axId val="390476568"/>
      </c:barChart>
      <c:valAx>
        <c:axId val="390476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67056"/>
        <c:crossBetween val="between"/>
      </c:valAx>
      <c:catAx>
        <c:axId val="3904670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476568"/>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 (2)!PivotTable3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'RPT (2)'!$B$3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896-4404-A8C2-A63722DB78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896-4404-A8C2-A63722DB78E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896-4404-A8C2-A63722DB78E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896-4404-A8C2-A63722DB78E6}"/>
              </c:ext>
            </c:extLst>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449797</c:v>
                </c:pt>
                <c:pt idx="1">
                  <c:v>325964</c:v>
                </c:pt>
                <c:pt idx="2">
                  <c:v>334280</c:v>
                </c:pt>
                <c:pt idx="3">
                  <c:v>482064</c:v>
                </c:pt>
                <c:pt idx="4">
                  <c:v>682083</c:v>
                </c:pt>
                <c:pt idx="5">
                  <c:v>502422</c:v>
                </c:pt>
              </c:numCache>
            </c:numRef>
          </c:val>
          <c:extLst>
            <c:ext xmlns:c16="http://schemas.microsoft.com/office/drawing/2014/chart" uri="{C3380CC4-5D6E-409C-BE32-E72D297353CC}">
              <c16:uniqueId val="{00000008-E896-4404-A8C2-A63722DB78E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 Project.xlsm]RPT!PivotTable3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RPT!$B$3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RPT!$A$4:$A$8</c:f>
              <c:strCache>
                <c:ptCount val="4"/>
                <c:pt idx="0">
                  <c:v>North</c:v>
                </c:pt>
                <c:pt idx="1">
                  <c:v>East</c:v>
                </c:pt>
                <c:pt idx="2">
                  <c:v>West</c:v>
                </c:pt>
                <c:pt idx="3">
                  <c:v>South</c:v>
                </c:pt>
              </c:strCache>
            </c:strRef>
          </c:cat>
          <c:val>
            <c:numRef>
              <c:f>RPT!$B$4:$B$8</c:f>
              <c:numCache>
                <c:formatCode>General</c:formatCode>
                <c:ptCount val="4"/>
                <c:pt idx="0">
                  <c:v>522134</c:v>
                </c:pt>
                <c:pt idx="1">
                  <c:v>796424</c:v>
                </c:pt>
                <c:pt idx="2">
                  <c:v>811725</c:v>
                </c:pt>
                <c:pt idx="3">
                  <c:v>646327</c:v>
                </c:pt>
              </c:numCache>
            </c:numRef>
          </c:val>
          <c:extLst>
            <c:ext xmlns:c16="http://schemas.microsoft.com/office/drawing/2014/chart" uri="{C3380CC4-5D6E-409C-BE32-E72D297353CC}">
              <c16:uniqueId val="{00000000-91FC-42C3-A499-D78685038D5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85725</xdr:rowOff>
    </xdr:from>
    <xdr:to>
      <xdr:col>8</xdr:col>
      <xdr:colOff>163200</xdr:colOff>
      <xdr:row>22</xdr:row>
      <xdr:rowOff>150225</xdr:rowOff>
    </xdr:to>
    <xdr:graphicFrame macro="">
      <xdr:nvGraphicFramePr>
        <xdr:cNvPr id="30" name="Chart 29">
          <a:extLst>
            <a:ext uri="{FF2B5EF4-FFF2-40B4-BE49-F238E27FC236}">
              <a16:creationId xmlns:a16="http://schemas.microsoft.com/office/drawing/2014/main" id="{5706FC88-F337-41DE-80FB-0CDD33235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161925</xdr:colOff>
      <xdr:row>0</xdr:row>
      <xdr:rowOff>19050</xdr:rowOff>
    </xdr:from>
    <xdr:to>
      <xdr:col>16</xdr:col>
      <xdr:colOff>325125</xdr:colOff>
      <xdr:row>11</xdr:row>
      <xdr:rowOff>83550</xdr:rowOff>
    </xdr:to>
    <xdr:graphicFrame macro="">
      <xdr:nvGraphicFramePr>
        <xdr:cNvPr id="31" name="Chart 1">
          <a:extLst>
            <a:ext uri="{FF2B5EF4-FFF2-40B4-BE49-F238E27FC236}">
              <a16:creationId xmlns:a16="http://schemas.microsoft.com/office/drawing/2014/main" id="{F383AA3E-2C69-4BC9-AAA1-07E2787D99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171449</xdr:colOff>
      <xdr:row>11</xdr:row>
      <xdr:rowOff>85725</xdr:rowOff>
    </xdr:from>
    <xdr:to>
      <xdr:col>16</xdr:col>
      <xdr:colOff>334649</xdr:colOff>
      <xdr:row>22</xdr:row>
      <xdr:rowOff>150225</xdr:rowOff>
    </xdr:to>
    <xdr:graphicFrame macro="">
      <xdr:nvGraphicFramePr>
        <xdr:cNvPr id="32" name="Chart 31">
          <a:extLst>
            <a:ext uri="{FF2B5EF4-FFF2-40B4-BE49-F238E27FC236}">
              <a16:creationId xmlns:a16="http://schemas.microsoft.com/office/drawing/2014/main" id="{9AFFD105-0E91-4C72-9186-06C475E6DF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19050</xdr:rowOff>
    </xdr:from>
    <xdr:to>
      <xdr:col>8</xdr:col>
      <xdr:colOff>163200</xdr:colOff>
      <xdr:row>11</xdr:row>
      <xdr:rowOff>83550</xdr:rowOff>
    </xdr:to>
    <xdr:graphicFrame macro="">
      <xdr:nvGraphicFramePr>
        <xdr:cNvPr id="33" name="Chart 32">
          <a:extLst>
            <a:ext uri="{FF2B5EF4-FFF2-40B4-BE49-F238E27FC236}">
              <a16:creationId xmlns:a16="http://schemas.microsoft.com/office/drawing/2014/main" id="{FFD75E68-6957-4722-8B56-6899B2E1D6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333375</xdr:colOff>
      <xdr:row>13</xdr:row>
      <xdr:rowOff>38101</xdr:rowOff>
    </xdr:from>
    <xdr:to>
      <xdr:col>20</xdr:col>
      <xdr:colOff>352425</xdr:colOff>
      <xdr:row>22</xdr:row>
      <xdr:rowOff>152401</xdr:rowOff>
    </xdr:to>
    <mc:AlternateContent xmlns:mc="http://schemas.openxmlformats.org/markup-compatibility/2006">
      <mc:Choice xmlns:a14="http://schemas.microsoft.com/office/drawing/2010/main" Requires="a14">
        <xdr:graphicFrame macro="">
          <xdr:nvGraphicFramePr>
            <xdr:cNvPr id="46" name="Date">
              <a:extLst>
                <a:ext uri="{FF2B5EF4-FFF2-40B4-BE49-F238E27FC236}">
                  <a16:creationId xmlns:a16="http://schemas.microsoft.com/office/drawing/2014/main" id="{E073A5FE-CE83-4CB0-9E3A-FC432CB3D529}"/>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10086975" y="2514601"/>
              <a:ext cx="2457450" cy="182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314324</xdr:colOff>
      <xdr:row>3</xdr:row>
      <xdr:rowOff>19051</xdr:rowOff>
    </xdr:from>
    <xdr:to>
      <xdr:col>20</xdr:col>
      <xdr:colOff>352425</xdr:colOff>
      <xdr:row>8</xdr:row>
      <xdr:rowOff>38101</xdr:rowOff>
    </xdr:to>
    <mc:AlternateContent xmlns:mc="http://schemas.openxmlformats.org/markup-compatibility/2006">
      <mc:Choice xmlns:a14="http://schemas.microsoft.com/office/drawing/2010/main" Requires="a14">
        <xdr:graphicFrame macro="">
          <xdr:nvGraphicFramePr>
            <xdr:cNvPr id="47" name="Product">
              <a:extLst>
                <a:ext uri="{FF2B5EF4-FFF2-40B4-BE49-F238E27FC236}">
                  <a16:creationId xmlns:a16="http://schemas.microsoft.com/office/drawing/2014/main" id="{E3E4788C-80D3-41AA-BD1B-C31EAC08625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0067924" y="590551"/>
              <a:ext cx="2476501" cy="971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323849</xdr:colOff>
      <xdr:row>7</xdr:row>
      <xdr:rowOff>180975</xdr:rowOff>
    </xdr:from>
    <xdr:to>
      <xdr:col>20</xdr:col>
      <xdr:colOff>352424</xdr:colOff>
      <xdr:row>13</xdr:row>
      <xdr:rowOff>38101</xdr:rowOff>
    </xdr:to>
    <mc:AlternateContent xmlns:mc="http://schemas.openxmlformats.org/markup-compatibility/2006">
      <mc:Choice xmlns:a14="http://schemas.microsoft.com/office/drawing/2010/main" Requires="a14">
        <xdr:graphicFrame macro="">
          <xdr:nvGraphicFramePr>
            <xdr:cNvPr id="48" name="Name">
              <a:extLst>
                <a:ext uri="{FF2B5EF4-FFF2-40B4-BE49-F238E27FC236}">
                  <a16:creationId xmlns:a16="http://schemas.microsoft.com/office/drawing/2014/main" id="{68742239-BADB-4E2E-8E1F-798393877066}"/>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10077449" y="1514475"/>
              <a:ext cx="2466975" cy="10001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323850</xdr:colOff>
      <xdr:row>0</xdr:row>
      <xdr:rowOff>1</xdr:rowOff>
    </xdr:from>
    <xdr:to>
      <xdr:col>20</xdr:col>
      <xdr:colOff>352426</xdr:colOff>
      <xdr:row>3</xdr:row>
      <xdr:rowOff>19050</xdr:rowOff>
    </xdr:to>
    <mc:AlternateContent xmlns:mc="http://schemas.openxmlformats.org/markup-compatibility/2006">
      <mc:Choice xmlns:a14="http://schemas.microsoft.com/office/drawing/2010/main" Requires="a14">
        <xdr:graphicFrame macro="">
          <xdr:nvGraphicFramePr>
            <xdr:cNvPr id="49" name="Area">
              <a:extLst>
                <a:ext uri="{FF2B5EF4-FFF2-40B4-BE49-F238E27FC236}">
                  <a16:creationId xmlns:a16="http://schemas.microsoft.com/office/drawing/2014/main" id="{8DD1F5D7-95DA-46DF-B38A-A3EAABBFF5BA}"/>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10077450" y="1"/>
              <a:ext cx="2466976" cy="5905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85725</xdr:colOff>
      <xdr:row>2</xdr:row>
      <xdr:rowOff>100012</xdr:rowOff>
    </xdr:from>
    <xdr:to>
      <xdr:col>15</xdr:col>
      <xdr:colOff>133350</xdr:colOff>
      <xdr:row>16</xdr:row>
      <xdr:rowOff>176212</xdr:rowOff>
    </xdr:to>
    <xdr:graphicFrame macro="">
      <xdr:nvGraphicFramePr>
        <xdr:cNvPr id="2" name="Chart 1">
          <a:extLst>
            <a:ext uri="{FF2B5EF4-FFF2-40B4-BE49-F238E27FC236}">
              <a16:creationId xmlns:a16="http://schemas.microsoft.com/office/drawing/2014/main" id="{FD325252-936C-4656-B619-DBBFC8BFCE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95250</xdr:colOff>
      <xdr:row>3</xdr:row>
      <xdr:rowOff>42862</xdr:rowOff>
    </xdr:from>
    <xdr:to>
      <xdr:col>14</xdr:col>
      <xdr:colOff>333375</xdr:colOff>
      <xdr:row>17</xdr:row>
      <xdr:rowOff>119062</xdr:rowOff>
    </xdr:to>
    <xdr:graphicFrame macro="">
      <xdr:nvGraphicFramePr>
        <xdr:cNvPr id="2" name="Chart 1">
          <a:extLst>
            <a:ext uri="{FF2B5EF4-FFF2-40B4-BE49-F238E27FC236}">
              <a16:creationId xmlns:a16="http://schemas.microsoft.com/office/drawing/2014/main" id="{D91E634E-5E20-4AFE-8CF0-FB326F06E7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38100</xdr:colOff>
      <xdr:row>4</xdr:row>
      <xdr:rowOff>14287</xdr:rowOff>
    </xdr:from>
    <xdr:to>
      <xdr:col>10</xdr:col>
      <xdr:colOff>342900</xdr:colOff>
      <xdr:row>18</xdr:row>
      <xdr:rowOff>90487</xdr:rowOff>
    </xdr:to>
    <xdr:graphicFrame macro="">
      <xdr:nvGraphicFramePr>
        <xdr:cNvPr id="2" name="Chart 1">
          <a:extLst>
            <a:ext uri="{FF2B5EF4-FFF2-40B4-BE49-F238E27FC236}">
              <a16:creationId xmlns:a16="http://schemas.microsoft.com/office/drawing/2014/main" id="{A713F6E4-4C67-430B-9834-A1D8A756E5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38100</xdr:colOff>
      <xdr:row>4</xdr:row>
      <xdr:rowOff>14287</xdr:rowOff>
    </xdr:from>
    <xdr:to>
      <xdr:col>10</xdr:col>
      <xdr:colOff>342900</xdr:colOff>
      <xdr:row>18</xdr:row>
      <xdr:rowOff>90487</xdr:rowOff>
    </xdr:to>
    <xdr:graphicFrame macro="">
      <xdr:nvGraphicFramePr>
        <xdr:cNvPr id="2" name="Chart 1">
          <a:extLst>
            <a:ext uri="{FF2B5EF4-FFF2-40B4-BE49-F238E27FC236}">
              <a16:creationId xmlns:a16="http://schemas.microsoft.com/office/drawing/2014/main" id="{D66C3568-03AA-4BB5-A217-ACB13EA97E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EL THOMAS" refreshedDate="44165.925562615739" createdVersion="6" refreshedVersion="6" minRefreshableVersion="3" recordCount="61" xr:uid="{360CD5A5-A18E-4F6E-8E30-FBD52B35478A}">
  <cacheSource type="worksheet">
    <worksheetSource name="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North"/>
        <s v="South"/>
      </sharedItems>
    </cacheField>
    <cacheField name="Qty" numFmtId="0">
      <sharedItems containsSemiMixedTypes="0" containsString="0" containsNumber="1" containsInteger="1" minValue="2" maxValue="33"/>
    </cacheField>
    <cacheField name="Cost" numFmtId="0">
      <sharedItems containsSemiMixedTypes="0" containsString="0" containsNumber="1" containsInteger="1" minValue="847" maxValue="7474"/>
    </cacheField>
    <cacheField name="Total" numFmtId="0">
      <sharedItems containsSemiMixedTypes="0" containsString="0" containsNumber="1" containsInteger="1" minValue="9586" maxValue="97162"/>
    </cacheField>
  </cacheFields>
  <extLst>
    <ext xmlns:x14="http://schemas.microsoft.com/office/spreadsheetml/2009/9/main" uri="{725AE2AE-9491-48be-B2B4-4EB974FC3084}">
      <x14:pivotCacheDefinition pivotCacheId="6785275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665"/>
    <n v="42640"/>
  </r>
  <r>
    <n v="2"/>
    <x v="1"/>
    <x v="1"/>
    <x v="1"/>
    <x v="0"/>
    <n v="16"/>
    <n v="3971"/>
    <n v="63536"/>
  </r>
  <r>
    <n v="3"/>
    <x v="2"/>
    <x v="2"/>
    <x v="2"/>
    <x v="0"/>
    <n v="11"/>
    <n v="4859"/>
    <n v="53449"/>
  </r>
  <r>
    <n v="4"/>
    <x v="3"/>
    <x v="3"/>
    <x v="3"/>
    <x v="0"/>
    <n v="16"/>
    <n v="3755"/>
    <n v="60080"/>
  </r>
  <r>
    <n v="5"/>
    <x v="4"/>
    <x v="4"/>
    <x v="4"/>
    <x v="0"/>
    <n v="17"/>
    <n v="4545"/>
    <n v="77265"/>
  </r>
  <r>
    <n v="6"/>
    <x v="5"/>
    <x v="0"/>
    <x v="0"/>
    <x v="0"/>
    <n v="11"/>
    <n v="4640"/>
    <n v="51040"/>
  </r>
  <r>
    <n v="7"/>
    <x v="6"/>
    <x v="1"/>
    <x v="1"/>
    <x v="0"/>
    <n v="16"/>
    <n v="2554"/>
    <n v="40864"/>
  </r>
  <r>
    <n v="8"/>
    <x v="7"/>
    <x v="2"/>
    <x v="2"/>
    <x v="0"/>
    <n v="18"/>
    <n v="2221"/>
    <n v="39978"/>
  </r>
  <r>
    <n v="9"/>
    <x v="8"/>
    <x v="3"/>
    <x v="3"/>
    <x v="0"/>
    <n v="14"/>
    <n v="3949"/>
    <n v="55286"/>
  </r>
  <r>
    <n v="10"/>
    <x v="9"/>
    <x v="4"/>
    <x v="4"/>
    <x v="0"/>
    <n v="14"/>
    <n v="5600"/>
    <n v="78400"/>
  </r>
  <r>
    <n v="11"/>
    <x v="5"/>
    <x v="0"/>
    <x v="0"/>
    <x v="0"/>
    <n v="11"/>
    <n v="2366"/>
    <n v="26026"/>
  </r>
  <r>
    <n v="12"/>
    <x v="6"/>
    <x v="1"/>
    <x v="1"/>
    <x v="0"/>
    <n v="16"/>
    <n v="4610"/>
    <n v="73760"/>
  </r>
  <r>
    <n v="13"/>
    <x v="7"/>
    <x v="2"/>
    <x v="2"/>
    <x v="0"/>
    <n v="18"/>
    <n v="2221"/>
    <n v="39978"/>
  </r>
  <r>
    <n v="14"/>
    <x v="8"/>
    <x v="3"/>
    <x v="3"/>
    <x v="0"/>
    <n v="14"/>
    <n v="2533"/>
    <n v="35462"/>
  </r>
  <r>
    <n v="15"/>
    <x v="9"/>
    <x v="4"/>
    <x v="4"/>
    <x v="0"/>
    <n v="14"/>
    <n v="4190"/>
    <n v="58660"/>
  </r>
  <r>
    <n v="16"/>
    <x v="0"/>
    <x v="1"/>
    <x v="0"/>
    <x v="1"/>
    <n v="16"/>
    <n v="2741"/>
    <n v="43856"/>
  </r>
  <r>
    <n v="17"/>
    <x v="1"/>
    <x v="0"/>
    <x v="1"/>
    <x v="1"/>
    <n v="11"/>
    <n v="2722"/>
    <n v="29942"/>
  </r>
  <r>
    <n v="18"/>
    <x v="2"/>
    <x v="3"/>
    <x v="2"/>
    <x v="1"/>
    <n v="18"/>
    <n v="2900"/>
    <n v="52200"/>
  </r>
  <r>
    <n v="19"/>
    <x v="3"/>
    <x v="2"/>
    <x v="3"/>
    <x v="1"/>
    <n v="33"/>
    <n v="2895"/>
    <n v="95535"/>
  </r>
  <r>
    <n v="20"/>
    <x v="4"/>
    <x v="5"/>
    <x v="4"/>
    <x v="1"/>
    <n v="10"/>
    <n v="4569"/>
    <n v="45690"/>
  </r>
  <r>
    <n v="21"/>
    <x v="5"/>
    <x v="5"/>
    <x v="0"/>
    <x v="1"/>
    <n v="11"/>
    <n v="3782"/>
    <n v="41602"/>
  </r>
  <r>
    <n v="22"/>
    <x v="6"/>
    <x v="0"/>
    <x v="1"/>
    <x v="1"/>
    <n v="15"/>
    <n v="2598"/>
    <n v="38970"/>
  </r>
  <r>
    <n v="23"/>
    <x v="7"/>
    <x v="3"/>
    <x v="2"/>
    <x v="1"/>
    <n v="12"/>
    <n v="4729"/>
    <n v="56748"/>
  </r>
  <r>
    <n v="24"/>
    <x v="8"/>
    <x v="2"/>
    <x v="0"/>
    <x v="1"/>
    <n v="12"/>
    <n v="4007"/>
    <n v="48084"/>
  </r>
  <r>
    <n v="25"/>
    <x v="9"/>
    <x v="5"/>
    <x v="4"/>
    <x v="1"/>
    <n v="28"/>
    <n v="3459"/>
    <n v="96852"/>
  </r>
  <r>
    <n v="26"/>
    <x v="5"/>
    <x v="1"/>
    <x v="0"/>
    <x v="1"/>
    <n v="11"/>
    <n v="2541"/>
    <n v="27951"/>
  </r>
  <r>
    <n v="27"/>
    <x v="6"/>
    <x v="0"/>
    <x v="1"/>
    <x v="1"/>
    <n v="25"/>
    <n v="3655"/>
    <n v="91375"/>
  </r>
  <r>
    <n v="28"/>
    <x v="7"/>
    <x v="3"/>
    <x v="2"/>
    <x v="1"/>
    <n v="12"/>
    <n v="4729"/>
    <n v="56748"/>
  </r>
  <r>
    <n v="29"/>
    <x v="8"/>
    <x v="1"/>
    <x v="3"/>
    <x v="1"/>
    <n v="12"/>
    <n v="4007"/>
    <n v="48084"/>
  </r>
  <r>
    <n v="30"/>
    <x v="9"/>
    <x v="5"/>
    <x v="4"/>
    <x v="1"/>
    <n v="9"/>
    <n v="4232"/>
    <n v="38088"/>
  </r>
  <r>
    <n v="31"/>
    <x v="0"/>
    <x v="5"/>
    <x v="0"/>
    <x v="2"/>
    <n v="5"/>
    <n v="3270"/>
    <n v="16350"/>
  </r>
  <r>
    <n v="32"/>
    <x v="1"/>
    <x v="2"/>
    <x v="1"/>
    <x v="2"/>
    <n v="17"/>
    <n v="4245"/>
    <n v="72165"/>
  </r>
  <r>
    <n v="33"/>
    <x v="2"/>
    <x v="5"/>
    <x v="2"/>
    <x v="2"/>
    <n v="5"/>
    <n v="4864"/>
    <n v="24320"/>
  </r>
  <r>
    <n v="34"/>
    <x v="3"/>
    <x v="5"/>
    <x v="3"/>
    <x v="2"/>
    <n v="6"/>
    <n v="2381"/>
    <n v="14286"/>
  </r>
  <r>
    <n v="35"/>
    <x v="4"/>
    <x v="1"/>
    <x v="4"/>
    <x v="2"/>
    <n v="10"/>
    <n v="3503"/>
    <n v="35030"/>
  </r>
  <r>
    <n v="36"/>
    <x v="5"/>
    <x v="5"/>
    <x v="0"/>
    <x v="2"/>
    <n v="5"/>
    <n v="3176"/>
    <n v="15880"/>
  </r>
  <r>
    <n v="37"/>
    <x v="6"/>
    <x v="2"/>
    <x v="1"/>
    <x v="2"/>
    <n v="12"/>
    <n v="4192"/>
    <n v="50304"/>
  </r>
  <r>
    <n v="38"/>
    <x v="7"/>
    <x v="5"/>
    <x v="4"/>
    <x v="2"/>
    <n v="2"/>
    <n v="4793"/>
    <n v="9586"/>
  </r>
  <r>
    <n v="39"/>
    <x v="8"/>
    <x v="5"/>
    <x v="3"/>
    <x v="2"/>
    <n v="5"/>
    <n v="2204"/>
    <n v="11020"/>
  </r>
  <r>
    <n v="40"/>
    <x v="9"/>
    <x v="3"/>
    <x v="4"/>
    <x v="2"/>
    <n v="18"/>
    <n v="4183"/>
    <n v="75294"/>
  </r>
  <r>
    <n v="41"/>
    <x v="4"/>
    <x v="3"/>
    <x v="4"/>
    <x v="2"/>
    <n v="10"/>
    <n v="3503"/>
    <n v="35030"/>
  </r>
  <r>
    <n v="42"/>
    <x v="5"/>
    <x v="0"/>
    <x v="0"/>
    <x v="2"/>
    <n v="5"/>
    <n v="3333"/>
    <n v="16665"/>
  </r>
  <r>
    <n v="43"/>
    <x v="6"/>
    <x v="2"/>
    <x v="1"/>
    <x v="2"/>
    <n v="12"/>
    <n v="4192"/>
    <n v="50304"/>
  </r>
  <r>
    <n v="44"/>
    <x v="7"/>
    <x v="5"/>
    <x v="2"/>
    <x v="2"/>
    <n v="2"/>
    <n v="4793"/>
    <n v="9586"/>
  </r>
  <r>
    <n v="45"/>
    <x v="8"/>
    <x v="5"/>
    <x v="3"/>
    <x v="2"/>
    <n v="5"/>
    <n v="2204"/>
    <n v="11020"/>
  </r>
  <r>
    <n v="46"/>
    <x v="9"/>
    <x v="3"/>
    <x v="4"/>
    <x v="2"/>
    <n v="18"/>
    <n v="4183"/>
    <n v="75294"/>
  </r>
  <r>
    <n v="47"/>
    <x v="0"/>
    <x v="3"/>
    <x v="0"/>
    <x v="3"/>
    <n v="10"/>
    <n v="4057"/>
    <n v="40570"/>
  </r>
  <r>
    <n v="48"/>
    <x v="1"/>
    <x v="4"/>
    <x v="1"/>
    <x v="3"/>
    <n v="18"/>
    <n v="3809"/>
    <n v="68562"/>
  </r>
  <r>
    <n v="49"/>
    <x v="2"/>
    <x v="0"/>
    <x v="2"/>
    <x v="3"/>
    <n v="5"/>
    <n v="4444"/>
    <n v="22220"/>
  </r>
  <r>
    <n v="50"/>
    <x v="3"/>
    <x v="1"/>
    <x v="3"/>
    <x v="3"/>
    <n v="10"/>
    <n v="2346"/>
    <n v="23460"/>
  </r>
  <r>
    <n v="51"/>
    <x v="4"/>
    <x v="1"/>
    <x v="4"/>
    <x v="3"/>
    <n v="8"/>
    <n v="4953"/>
    <n v="39624"/>
  </r>
  <r>
    <n v="52"/>
    <x v="5"/>
    <x v="3"/>
    <x v="0"/>
    <x v="3"/>
    <n v="18"/>
    <n v="3222"/>
    <n v="57996"/>
  </r>
  <r>
    <n v="53"/>
    <x v="6"/>
    <x v="4"/>
    <x v="1"/>
    <x v="3"/>
    <n v="12"/>
    <n v="2531"/>
    <n v="30372"/>
  </r>
  <r>
    <n v="54"/>
    <x v="7"/>
    <x v="0"/>
    <x v="2"/>
    <x v="3"/>
    <n v="13"/>
    <n v="7474"/>
    <n v="97162"/>
  </r>
  <r>
    <n v="55"/>
    <x v="8"/>
    <x v="1"/>
    <x v="3"/>
    <x v="3"/>
    <n v="11"/>
    <n v="2806"/>
    <n v="30866"/>
  </r>
  <r>
    <n v="56"/>
    <x v="9"/>
    <x v="1"/>
    <x v="4"/>
    <x v="3"/>
    <n v="5"/>
    <n v="3350"/>
    <n v="16750"/>
  </r>
  <r>
    <n v="57"/>
    <x v="5"/>
    <x v="3"/>
    <x v="0"/>
    <x v="3"/>
    <n v="25"/>
    <n v="3255"/>
    <n v="81375"/>
  </r>
  <r>
    <n v="58"/>
    <x v="6"/>
    <x v="4"/>
    <x v="1"/>
    <x v="3"/>
    <n v="15"/>
    <n v="847"/>
    <n v="12705"/>
  </r>
  <r>
    <n v="59"/>
    <x v="7"/>
    <x v="0"/>
    <x v="2"/>
    <x v="3"/>
    <n v="14"/>
    <n v="4716"/>
    <n v="66024"/>
  </r>
  <r>
    <n v="60"/>
    <x v="8"/>
    <x v="1"/>
    <x v="3"/>
    <x v="3"/>
    <n v="11"/>
    <n v="2806"/>
    <n v="30866"/>
  </r>
  <r>
    <n v="61"/>
    <x v="9"/>
    <x v="1"/>
    <x v="4"/>
    <x v="3"/>
    <n v="5"/>
    <n v="5555"/>
    <n v="277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C8D250-B8A5-47D2-966A-F61A72A35C49}" name="PivotTable3"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H15" firstHeaderRow="1" firstDataRow="2" firstDataCol="1"/>
  <pivotFields count="8">
    <pivotField showAll="0"/>
    <pivotField axis="axisRow"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x="2"/>
        <item x="0"/>
        <item x="1"/>
        <item x="3"/>
        <item t="default"/>
      </items>
    </pivotField>
    <pivotField showAll="0"/>
    <pivotField showAll="0"/>
    <pivotField dataField="1" showAll="0"/>
  </pivotFields>
  <rowFields count="1">
    <field x="1"/>
  </rowFields>
  <rowItems count="11">
    <i>
      <x/>
    </i>
    <i>
      <x v="1"/>
    </i>
    <i>
      <x v="2"/>
    </i>
    <i>
      <x v="3"/>
    </i>
    <i>
      <x v="4"/>
    </i>
    <i>
      <x v="5"/>
    </i>
    <i>
      <x v="6"/>
    </i>
    <i>
      <x v="7"/>
    </i>
    <i>
      <x v="8"/>
    </i>
    <i>
      <x v="9"/>
    </i>
    <i t="grand">
      <x/>
    </i>
  </rowItems>
  <colFields count="1">
    <field x="2"/>
  </colFields>
  <colItems count="7">
    <i>
      <x/>
    </i>
    <i>
      <x v="1"/>
    </i>
    <i>
      <x v="2"/>
    </i>
    <i>
      <x v="3"/>
    </i>
    <i>
      <x v="4"/>
    </i>
    <i>
      <x v="5"/>
    </i>
    <i t="grand">
      <x/>
    </i>
  </colItems>
  <dataFields count="1">
    <dataField name="Sum of Total" fld="7" baseField="0" baseItem="0"/>
  </dataFields>
  <chartFormats count="1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0"/>
          </reference>
        </references>
      </pivotArea>
    </chartFormat>
    <chartFormat chart="3" format="16" series="1">
      <pivotArea type="data" outline="0" fieldPosition="0">
        <references count="2">
          <reference field="4294967294" count="1" selected="0">
            <x v="0"/>
          </reference>
          <reference field="2" count="1" selected="0">
            <x v="1"/>
          </reference>
        </references>
      </pivotArea>
    </chartFormat>
    <chartFormat chart="3" format="17" series="1">
      <pivotArea type="data" outline="0" fieldPosition="0">
        <references count="2">
          <reference field="4294967294" count="1" selected="0">
            <x v="0"/>
          </reference>
          <reference field="2" count="1" selected="0">
            <x v="2"/>
          </reference>
        </references>
      </pivotArea>
    </chartFormat>
    <chartFormat chart="3" format="18" series="1">
      <pivotArea type="data" outline="0" fieldPosition="0">
        <references count="2">
          <reference field="4294967294" count="1" selected="0">
            <x v="0"/>
          </reference>
          <reference field="2" count="1" selected="0">
            <x v="3"/>
          </reference>
        </references>
      </pivotArea>
    </chartFormat>
    <chartFormat chart="3" format="19" series="1">
      <pivotArea type="data" outline="0" fieldPosition="0">
        <references count="2">
          <reference field="4294967294" count="1" selected="0">
            <x v="0"/>
          </reference>
          <reference field="2" count="1" selected="0">
            <x v="4"/>
          </reference>
        </references>
      </pivotArea>
    </chartFormat>
    <chartFormat chart="3" format="20" series="1">
      <pivotArea type="data" outline="0" fieldPosition="0">
        <references count="2">
          <reference field="4294967294" count="1" selected="0">
            <x v="0"/>
          </reference>
          <reference field="2" count="1" selected="0">
            <x v="5"/>
          </reference>
        </references>
      </pivotArea>
    </chartFormat>
    <chartFormat chart="5" format="27" series="1">
      <pivotArea type="data" outline="0" fieldPosition="0">
        <references count="2">
          <reference field="4294967294" count="1" selected="0">
            <x v="0"/>
          </reference>
          <reference field="2" count="1" selected="0">
            <x v="0"/>
          </reference>
        </references>
      </pivotArea>
    </chartFormat>
    <chartFormat chart="5" format="28" series="1">
      <pivotArea type="data" outline="0" fieldPosition="0">
        <references count="2">
          <reference field="4294967294" count="1" selected="0">
            <x v="0"/>
          </reference>
          <reference field="2" count="1" selected="0">
            <x v="1"/>
          </reference>
        </references>
      </pivotArea>
    </chartFormat>
    <chartFormat chart="5" format="29" series="1">
      <pivotArea type="data" outline="0" fieldPosition="0">
        <references count="2">
          <reference field="4294967294" count="1" selected="0">
            <x v="0"/>
          </reference>
          <reference field="2" count="1" selected="0">
            <x v="2"/>
          </reference>
        </references>
      </pivotArea>
    </chartFormat>
    <chartFormat chart="5" format="30" series="1">
      <pivotArea type="data" outline="0" fieldPosition="0">
        <references count="2">
          <reference field="4294967294" count="1" selected="0">
            <x v="0"/>
          </reference>
          <reference field="2" count="1" selected="0">
            <x v="3"/>
          </reference>
        </references>
      </pivotArea>
    </chartFormat>
    <chartFormat chart="5" format="31" series="1">
      <pivotArea type="data" outline="0" fieldPosition="0">
        <references count="2">
          <reference field="4294967294" count="1" selected="0">
            <x v="0"/>
          </reference>
          <reference field="2" count="1" selected="0">
            <x v="4"/>
          </reference>
        </references>
      </pivotArea>
    </chartFormat>
    <chartFormat chart="5" format="32"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307917-4EE0-4692-B524-82B55C67AE61}" name="PivotTable3"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axis="axisRow" showAll="0">
      <items count="5">
        <item x="2"/>
        <item x="0"/>
        <item x="1"/>
        <item x="3"/>
        <item t="default"/>
      </items>
    </pivotField>
    <pivotField dataField="1" showAll="0"/>
    <pivotField showAll="0"/>
    <pivotField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Qty" fld="5" baseField="0" baseItem="0"/>
  </dataFields>
  <chartFormats count="12">
    <chartFormat chart="2" format="11" series="1">
      <pivotArea type="data" outline="0" fieldPosition="0">
        <references count="1">
          <reference field="4294967294" count="1" selected="0">
            <x v="0"/>
          </reference>
        </references>
      </pivotArea>
    </chartFormat>
    <chartFormat chart="2" format="12" series="1">
      <pivotArea type="data" outline="0" fieldPosition="0">
        <references count="2">
          <reference field="4294967294" count="1" selected="0">
            <x v="0"/>
          </reference>
          <reference field="2" count="1" selected="0">
            <x v="1"/>
          </reference>
        </references>
      </pivotArea>
    </chartFormat>
    <chartFormat chart="2" format="13" series="1">
      <pivotArea type="data" outline="0" fieldPosition="0">
        <references count="2">
          <reference field="4294967294" count="1" selected="0">
            <x v="0"/>
          </reference>
          <reference field="2" count="1" selected="0">
            <x v="2"/>
          </reference>
        </references>
      </pivotArea>
    </chartFormat>
    <chartFormat chart="2" format="14" series="1">
      <pivotArea type="data" outline="0" fieldPosition="0">
        <references count="2">
          <reference field="4294967294" count="1" selected="0">
            <x v="0"/>
          </reference>
          <reference field="2" count="1" selected="0">
            <x v="3"/>
          </reference>
        </references>
      </pivotArea>
    </chartFormat>
    <chartFormat chart="2" format="15" series="1">
      <pivotArea type="data" outline="0" fieldPosition="0">
        <references count="2">
          <reference field="4294967294" count="1" selected="0">
            <x v="0"/>
          </reference>
          <reference field="2" count="1" selected="0">
            <x v="4"/>
          </reference>
        </references>
      </pivotArea>
    </chartFormat>
    <chartFormat chart="2" format="16" series="1">
      <pivotArea type="data" outline="0" fieldPosition="0">
        <references count="2">
          <reference field="4294967294" count="1" selected="0">
            <x v="0"/>
          </reference>
          <reference field="2" count="1" selected="0">
            <x v="5"/>
          </reference>
        </references>
      </pivotArea>
    </chartFormat>
    <chartFormat chart="4" format="23" series="1">
      <pivotArea type="data" outline="0" fieldPosition="0">
        <references count="2">
          <reference field="4294967294" count="1" selected="0">
            <x v="0"/>
          </reference>
          <reference field="2" count="1" selected="0">
            <x v="0"/>
          </reference>
        </references>
      </pivotArea>
    </chartFormat>
    <chartFormat chart="4" format="24" series="1">
      <pivotArea type="data" outline="0" fieldPosition="0">
        <references count="2">
          <reference field="4294967294" count="1" selected="0">
            <x v="0"/>
          </reference>
          <reference field="2" count="1" selected="0">
            <x v="1"/>
          </reference>
        </references>
      </pivotArea>
    </chartFormat>
    <chartFormat chart="4" format="25" series="1">
      <pivotArea type="data" outline="0" fieldPosition="0">
        <references count="2">
          <reference field="4294967294" count="1" selected="0">
            <x v="0"/>
          </reference>
          <reference field="2" count="1" selected="0">
            <x v="2"/>
          </reference>
        </references>
      </pivotArea>
    </chartFormat>
    <chartFormat chart="4" format="26" series="1">
      <pivotArea type="data" outline="0" fieldPosition="0">
        <references count="2">
          <reference field="4294967294" count="1" selected="0">
            <x v="0"/>
          </reference>
          <reference field="2" count="1" selected="0">
            <x v="3"/>
          </reference>
        </references>
      </pivotArea>
    </chartFormat>
    <chartFormat chart="4" format="27" series="1">
      <pivotArea type="data" outline="0" fieldPosition="0">
        <references count="2">
          <reference field="4294967294" count="1" selected="0">
            <x v="0"/>
          </reference>
          <reference field="2" count="1" selected="0">
            <x v="4"/>
          </reference>
        </references>
      </pivotArea>
    </chartFormat>
    <chartFormat chart="4" format="28"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7CE298-E909-458E-94F7-021B588D96F3}" name="PivotTable3"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2"/>
        <item x="0"/>
        <item x="1"/>
        <item x="3"/>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9">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2" count="1" selected="0">
            <x v="0"/>
          </reference>
        </references>
      </pivotArea>
    </chartFormat>
    <chartFormat chart="4" format="15">
      <pivotArea type="data" outline="0" fieldPosition="0">
        <references count="2">
          <reference field="4294967294" count="1" selected="0">
            <x v="0"/>
          </reference>
          <reference field="2" count="1" selected="0">
            <x v="1"/>
          </reference>
        </references>
      </pivotArea>
    </chartFormat>
    <chartFormat chart="4" format="16">
      <pivotArea type="data" outline="0" fieldPosition="0">
        <references count="2">
          <reference field="4294967294" count="1" selected="0">
            <x v="0"/>
          </reference>
          <reference field="2" count="1" selected="0">
            <x v="2"/>
          </reference>
        </references>
      </pivotArea>
    </chartFormat>
    <chartFormat chart="4" format="17">
      <pivotArea type="data" outline="0" fieldPosition="0">
        <references count="2">
          <reference field="4294967294" count="1" selected="0">
            <x v="0"/>
          </reference>
          <reference field="2" count="1" selected="0">
            <x v="3"/>
          </reference>
        </references>
      </pivotArea>
    </chartFormat>
    <chartFormat chart="4" format="18">
      <pivotArea type="data" outline="0" fieldPosition="0">
        <references count="2">
          <reference field="4294967294" count="1" selected="0">
            <x v="0"/>
          </reference>
          <reference field="2" count="1" selected="0">
            <x v="4"/>
          </reference>
        </references>
      </pivotArea>
    </chartFormat>
    <chartFormat chart="4" format="19">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2FC5910-1A75-4878-A21D-21B1944482C7}" name="PivotTable3"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2"/>
        <item x="0"/>
        <item x="1"/>
        <item x="3"/>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6">
    <chartFormat chart="0" format="0" series="1">
      <pivotArea type="data" outline="0" fieldPosition="0">
        <references count="1">
          <reference field="4294967294" count="1" selected="0">
            <x v="0"/>
          </reference>
        </references>
      </pivotArea>
    </chartFormat>
    <chartFormat chart="2" format="20" series="1">
      <pivotArea type="data" outline="0" fieldPosition="0">
        <references count="1">
          <reference field="4294967294" count="1" selected="0">
            <x v="0"/>
          </reference>
        </references>
      </pivotArea>
    </chartFormat>
    <chartFormat chart="2" format="21">
      <pivotArea type="data" outline="0" fieldPosition="0">
        <references count="2">
          <reference field="4294967294" count="1" selected="0">
            <x v="0"/>
          </reference>
          <reference field="4" count="1" selected="0">
            <x v="0"/>
          </reference>
        </references>
      </pivotArea>
    </chartFormat>
    <chartFormat chart="2" format="22">
      <pivotArea type="data" outline="0" fieldPosition="0">
        <references count="2">
          <reference field="4294967294" count="1" selected="0">
            <x v="0"/>
          </reference>
          <reference field="4" count="1" selected="0">
            <x v="1"/>
          </reference>
        </references>
      </pivotArea>
    </chartFormat>
    <chartFormat chart="2" format="23">
      <pivotArea type="data" outline="0" fieldPosition="0">
        <references count="2">
          <reference field="4294967294" count="1" selected="0">
            <x v="0"/>
          </reference>
          <reference field="4" count="1" selected="0">
            <x v="2"/>
          </reference>
        </references>
      </pivotArea>
    </chartFormat>
    <chartFormat chart="2" format="2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7D3AD8FE-16E3-43A5-9296-15E6C2DE229A}" sourceName="Date">
  <pivotTables>
    <pivotTable tabId="32" name="PivotTable3"/>
    <pivotTable tabId="31" name="PivotTable3"/>
    <pivotTable tabId="33" name="PivotTable3"/>
    <pivotTable tabId="34" name="PivotTable3"/>
  </pivotTables>
  <data>
    <tabular pivotCacheId="678527534">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57D9F5C4-DDAD-46BD-B6B3-C33DA0B66B72}" sourceName="Product">
  <pivotTables>
    <pivotTable tabId="32" name="PivotTable3"/>
    <pivotTable tabId="31" name="PivotTable3"/>
    <pivotTable tabId="33" name="PivotTable3"/>
    <pivotTable tabId="34" name="PivotTable3"/>
  </pivotTables>
  <data>
    <tabular pivotCacheId="678527534">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5E080848-1F92-4A99-A04A-45B63FA3BC75}" sourceName="Name">
  <pivotTables>
    <pivotTable tabId="32" name="PivotTable3"/>
    <pivotTable tabId="31" name="PivotTable3"/>
    <pivotTable tabId="33" name="PivotTable3"/>
    <pivotTable tabId="34" name="PivotTable3"/>
  </pivotTables>
  <data>
    <tabular pivotCacheId="678527534">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9B2C1A9F-37E2-4908-A0A7-FAB68B424F97}" sourceName="Area">
  <pivotTables>
    <pivotTable tabId="32" name="PivotTable3"/>
    <pivotTable tabId="31" name="PivotTable3"/>
    <pivotTable tabId="33" name="PivotTable3"/>
    <pivotTable tabId="34" name="PivotTable3"/>
  </pivotTables>
  <data>
    <tabular pivotCacheId="678527534">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FE05048B-885B-4C53-8F28-4E8B0466D436}" cache="Slicer_Date" caption="Date" columnCount="2" style="SlicerStyleDark2" rowHeight="241300"/>
  <slicer name="Product" xr10:uid="{52C07997-AC2E-4F9A-A18F-AE5F51671D3D}" cache="Slicer_Product" caption="Product" columnCount="3" style="SlicerStyleDark5" rowHeight="241300"/>
  <slicer name="Name" xr10:uid="{56A312A2-9557-420E-B490-6A77F2C0FEAD}" cache="Slicer_Name" caption="Name" columnCount="3" style="SlicerStyleDark4" rowHeight="241300"/>
  <slicer name="Area" xr10:uid="{28FFA037-299B-4526-8CE0-611A96D2526B}" cache="Slicer_Area" caption="Area" columnCount="4"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FC384D-368E-4BAF-92EC-1A907730C61E}" name="Data" displayName="Data" ref="A1:H62" totalsRowShown="0" headerRowDxfId="0">
  <autoFilter ref="A1:H62" xr:uid="{8ADEC6A8-B441-4236-81E2-7CE247A7F0CA}"/>
  <tableColumns count="8">
    <tableColumn id="1" xr3:uid="{D3767B67-0701-4C19-B7C9-C25CAA35E1F7}" name="Sr. No."/>
    <tableColumn id="2" xr3:uid="{9149FD73-EB01-4D2D-8782-BCF61B5CB5F1}" name="Date" dataDxfId="1"/>
    <tableColumn id="3" xr3:uid="{757958B7-0EE1-4476-83CC-48EE49C50D0B}" name="Product"/>
    <tableColumn id="4" xr3:uid="{F63823E6-2358-4CBA-9B18-0EFBA09150C6}" name="Name"/>
    <tableColumn id="5" xr3:uid="{20757A65-0791-4104-87C4-2C57013F1445}" name="Area"/>
    <tableColumn id="6" xr3:uid="{257C7C2F-C91A-415A-A813-76DF46BDCF03}" name="Qty"/>
    <tableColumn id="7" xr3:uid="{8A0426A5-6D92-4CF8-8BC8-793E692FBEC7}" name="Cost"/>
    <tableColumn id="8" xr3:uid="{DE05E427-4EFD-4AB6-AF00-5D500ABCC957}" name="Total">
      <calculatedColumnFormula>F2*G2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workbookViewId="0">
      <selection activeCell="V9" sqref="V9"/>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D9B13-FFB1-4528-8975-4068D2FCF9F6}">
  <sheetPr codeName="Sheet20"/>
  <dimension ref="A3:H15"/>
  <sheetViews>
    <sheetView workbookViewId="0">
      <selection activeCell="F18" sqref="F18"/>
    </sheetView>
  </sheetViews>
  <sheetFormatPr defaultRowHeight="15" x14ac:dyDescent="0.25"/>
  <cols>
    <col min="1" max="1" width="13.140625" bestFit="1" customWidth="1"/>
    <col min="2" max="2" width="16.28515625" bestFit="1" customWidth="1"/>
    <col min="3" max="3" width="9.140625" bestFit="1" customWidth="1"/>
    <col min="4" max="4" width="7" bestFit="1" customWidth="1"/>
    <col min="5" max="5" width="7.42578125" bestFit="1" customWidth="1"/>
    <col min="6" max="7" width="7" bestFit="1" customWidth="1"/>
    <col min="8" max="8" width="11.28515625" bestFit="1" customWidth="1"/>
  </cols>
  <sheetData>
    <row r="3" spans="1:8" x14ac:dyDescent="0.25">
      <c r="A3" s="12" t="s">
        <v>42</v>
      </c>
      <c r="B3" s="12" t="s">
        <v>43</v>
      </c>
    </row>
    <row r="4" spans="1:8" x14ac:dyDescent="0.25">
      <c r="A4" s="12" t="s">
        <v>40</v>
      </c>
      <c r="B4" t="s">
        <v>12</v>
      </c>
      <c r="C4" t="s">
        <v>14</v>
      </c>
      <c r="D4" t="s">
        <v>13</v>
      </c>
      <c r="E4" t="s">
        <v>10</v>
      </c>
      <c r="F4" t="s">
        <v>11</v>
      </c>
      <c r="G4" t="s">
        <v>8</v>
      </c>
      <c r="H4" t="s">
        <v>41</v>
      </c>
    </row>
    <row r="5" spans="1:8" x14ac:dyDescent="0.25">
      <c r="A5" s="15">
        <v>40179</v>
      </c>
      <c r="B5" s="14"/>
      <c r="C5" s="14"/>
      <c r="D5" s="14">
        <v>16350</v>
      </c>
      <c r="E5" s="14">
        <v>42640</v>
      </c>
      <c r="F5" s="14">
        <v>40570</v>
      </c>
      <c r="G5" s="14">
        <v>43856</v>
      </c>
      <c r="H5" s="14">
        <v>143416</v>
      </c>
    </row>
    <row r="6" spans="1:8" x14ac:dyDescent="0.25">
      <c r="A6" s="15">
        <v>40180</v>
      </c>
      <c r="B6" s="14">
        <v>72165</v>
      </c>
      <c r="C6" s="14">
        <v>68562</v>
      </c>
      <c r="D6" s="14"/>
      <c r="E6" s="14">
        <v>29942</v>
      </c>
      <c r="F6" s="14"/>
      <c r="G6" s="14">
        <v>63536</v>
      </c>
      <c r="H6" s="14">
        <v>234205</v>
      </c>
    </row>
    <row r="7" spans="1:8" x14ac:dyDescent="0.25">
      <c r="A7" s="15">
        <v>40181</v>
      </c>
      <c r="B7" s="14">
        <v>53449</v>
      </c>
      <c r="C7" s="14"/>
      <c r="D7" s="14">
        <v>24320</v>
      </c>
      <c r="E7" s="14">
        <v>22220</v>
      </c>
      <c r="F7" s="14">
        <v>52200</v>
      </c>
      <c r="G7" s="14"/>
      <c r="H7" s="14">
        <v>152189</v>
      </c>
    </row>
    <row r="8" spans="1:8" x14ac:dyDescent="0.25">
      <c r="A8" s="15">
        <v>40182</v>
      </c>
      <c r="B8" s="14">
        <v>95535</v>
      </c>
      <c r="C8" s="14"/>
      <c r="D8" s="14">
        <v>14286</v>
      </c>
      <c r="E8" s="14"/>
      <c r="F8" s="14">
        <v>60080</v>
      </c>
      <c r="G8" s="14">
        <v>23460</v>
      </c>
      <c r="H8" s="14">
        <v>193361</v>
      </c>
    </row>
    <row r="9" spans="1:8" x14ac:dyDescent="0.25">
      <c r="A9" s="15">
        <v>40183</v>
      </c>
      <c r="B9" s="14"/>
      <c r="C9" s="14">
        <v>77265</v>
      </c>
      <c r="D9" s="14">
        <v>45690</v>
      </c>
      <c r="E9" s="14"/>
      <c r="F9" s="14">
        <v>35030</v>
      </c>
      <c r="G9" s="14">
        <v>74654</v>
      </c>
      <c r="H9" s="14">
        <v>232639</v>
      </c>
    </row>
    <row r="10" spans="1:8" x14ac:dyDescent="0.25">
      <c r="A10" s="15">
        <v>40184</v>
      </c>
      <c r="B10" s="14"/>
      <c r="C10" s="14"/>
      <c r="D10" s="14">
        <v>57482</v>
      </c>
      <c r="E10" s="14">
        <v>93731</v>
      </c>
      <c r="F10" s="14">
        <v>139371</v>
      </c>
      <c r="G10" s="14">
        <v>27951</v>
      </c>
      <c r="H10" s="14">
        <v>318535</v>
      </c>
    </row>
    <row r="11" spans="1:8" x14ac:dyDescent="0.25">
      <c r="A11" s="15">
        <v>40185</v>
      </c>
      <c r="B11" s="14">
        <v>100608</v>
      </c>
      <c r="C11" s="14">
        <v>43077</v>
      </c>
      <c r="D11" s="14"/>
      <c r="E11" s="14">
        <v>130345</v>
      </c>
      <c r="F11" s="14"/>
      <c r="G11" s="14">
        <v>114624</v>
      </c>
      <c r="H11" s="14">
        <v>388654</v>
      </c>
    </row>
    <row r="12" spans="1:8" x14ac:dyDescent="0.25">
      <c r="A12" s="15">
        <v>40186</v>
      </c>
      <c r="B12" s="14">
        <v>79956</v>
      </c>
      <c r="C12" s="14"/>
      <c r="D12" s="14">
        <v>19172</v>
      </c>
      <c r="E12" s="14">
        <v>163186</v>
      </c>
      <c r="F12" s="14">
        <v>113496</v>
      </c>
      <c r="G12" s="14"/>
      <c r="H12" s="14">
        <v>375810</v>
      </c>
    </row>
    <row r="13" spans="1:8" x14ac:dyDescent="0.25">
      <c r="A13" s="15">
        <v>40187</v>
      </c>
      <c r="B13" s="14">
        <v>48084</v>
      </c>
      <c r="C13" s="14"/>
      <c r="D13" s="14">
        <v>22040</v>
      </c>
      <c r="E13" s="14"/>
      <c r="F13" s="14">
        <v>90748</v>
      </c>
      <c r="G13" s="14">
        <v>109816</v>
      </c>
      <c r="H13" s="14">
        <v>270688</v>
      </c>
    </row>
    <row r="14" spans="1:8" x14ac:dyDescent="0.25">
      <c r="A14" s="15">
        <v>40188</v>
      </c>
      <c r="B14" s="14"/>
      <c r="C14" s="14">
        <v>137060</v>
      </c>
      <c r="D14" s="14">
        <v>134940</v>
      </c>
      <c r="E14" s="14"/>
      <c r="F14" s="14">
        <v>150588</v>
      </c>
      <c r="G14" s="14">
        <v>44525</v>
      </c>
      <c r="H14" s="14">
        <v>467113</v>
      </c>
    </row>
    <row r="15" spans="1:8" x14ac:dyDescent="0.25">
      <c r="A15" s="15" t="s">
        <v>41</v>
      </c>
      <c r="B15" s="14">
        <v>449797</v>
      </c>
      <c r="C15" s="14">
        <v>325964</v>
      </c>
      <c r="D15" s="14">
        <v>334280</v>
      </c>
      <c r="E15" s="14">
        <v>482064</v>
      </c>
      <c r="F15" s="14">
        <v>682083</v>
      </c>
      <c r="G15" s="14">
        <v>502422</v>
      </c>
      <c r="H15" s="14">
        <v>2776610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83D2A-2386-4A1E-88F1-00DD40B0EC14}">
  <sheetPr codeName="Sheet19"/>
  <dimension ref="A3:H9"/>
  <sheetViews>
    <sheetView workbookViewId="0">
      <selection activeCell="D19" sqref="D19"/>
    </sheetView>
  </sheetViews>
  <sheetFormatPr defaultRowHeight="15" x14ac:dyDescent="0.25"/>
  <cols>
    <col min="1" max="1" width="13.140625" bestFit="1" customWidth="1"/>
    <col min="2" max="2" width="16.28515625" bestFit="1" customWidth="1"/>
    <col min="3" max="3" width="9.140625" bestFit="1" customWidth="1"/>
    <col min="4" max="4" width="7" bestFit="1" customWidth="1"/>
    <col min="5" max="5" width="7.42578125" bestFit="1" customWidth="1"/>
    <col min="6" max="6" width="5.85546875" bestFit="1" customWidth="1"/>
    <col min="7" max="7" width="4" bestFit="1" customWidth="1"/>
    <col min="8" max="8" width="11.28515625" bestFit="1" customWidth="1"/>
  </cols>
  <sheetData>
    <row r="3" spans="1:8" x14ac:dyDescent="0.25">
      <c r="A3" s="12" t="s">
        <v>44</v>
      </c>
      <c r="B3" s="12" t="s">
        <v>43</v>
      </c>
    </row>
    <row r="4" spans="1:8" x14ac:dyDescent="0.25">
      <c r="A4" s="12" t="s">
        <v>40</v>
      </c>
      <c r="B4" t="s">
        <v>12</v>
      </c>
      <c r="C4" t="s">
        <v>14</v>
      </c>
      <c r="D4" t="s">
        <v>13</v>
      </c>
      <c r="E4" t="s">
        <v>10</v>
      </c>
      <c r="F4" t="s">
        <v>11</v>
      </c>
      <c r="G4" t="s">
        <v>8</v>
      </c>
      <c r="H4" t="s">
        <v>41</v>
      </c>
    </row>
    <row r="5" spans="1:8" x14ac:dyDescent="0.25">
      <c r="A5" s="13" t="s">
        <v>22</v>
      </c>
      <c r="B5" s="14">
        <v>41</v>
      </c>
      <c r="C5" s="14"/>
      <c r="D5" s="14">
        <v>35</v>
      </c>
      <c r="E5" s="14">
        <v>5</v>
      </c>
      <c r="F5" s="14">
        <v>46</v>
      </c>
      <c r="G5" s="14">
        <v>10</v>
      </c>
      <c r="H5" s="14">
        <v>137</v>
      </c>
    </row>
    <row r="6" spans="1:8" x14ac:dyDescent="0.25">
      <c r="A6" s="13" t="s">
        <v>9</v>
      </c>
      <c r="B6" s="14">
        <v>47</v>
      </c>
      <c r="C6" s="14">
        <v>45</v>
      </c>
      <c r="D6" s="14"/>
      <c r="E6" s="14">
        <v>38</v>
      </c>
      <c r="F6" s="14">
        <v>44</v>
      </c>
      <c r="G6" s="14">
        <v>48</v>
      </c>
      <c r="H6" s="14">
        <v>222</v>
      </c>
    </row>
    <row r="7" spans="1:8" x14ac:dyDescent="0.25">
      <c r="A7" s="13" t="s">
        <v>20</v>
      </c>
      <c r="B7" s="14">
        <v>45</v>
      </c>
      <c r="C7" s="14"/>
      <c r="D7" s="14">
        <v>58</v>
      </c>
      <c r="E7" s="14">
        <v>51</v>
      </c>
      <c r="F7" s="14">
        <v>42</v>
      </c>
      <c r="G7" s="14">
        <v>39</v>
      </c>
      <c r="H7" s="14">
        <v>235</v>
      </c>
    </row>
    <row r="8" spans="1:8" x14ac:dyDescent="0.25">
      <c r="A8" s="13" t="s">
        <v>21</v>
      </c>
      <c r="B8" s="14"/>
      <c r="C8" s="14">
        <v>45</v>
      </c>
      <c r="D8" s="14"/>
      <c r="E8" s="14">
        <v>32</v>
      </c>
      <c r="F8" s="14">
        <v>53</v>
      </c>
      <c r="G8" s="14">
        <v>50</v>
      </c>
      <c r="H8" s="14">
        <v>180</v>
      </c>
    </row>
    <row r="9" spans="1:8" x14ac:dyDescent="0.25">
      <c r="A9" s="13" t="s">
        <v>41</v>
      </c>
      <c r="B9" s="14">
        <v>133</v>
      </c>
      <c r="C9" s="14">
        <v>90</v>
      </c>
      <c r="D9" s="14">
        <v>93</v>
      </c>
      <c r="E9" s="14">
        <v>126</v>
      </c>
      <c r="F9" s="14">
        <v>185</v>
      </c>
      <c r="G9" s="14">
        <v>147</v>
      </c>
      <c r="H9" s="14">
        <v>774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03E8-9CAB-4389-ABEA-9DBA2B6478C8}">
  <sheetPr codeName="Sheet18"/>
  <dimension ref="A3:B10"/>
  <sheetViews>
    <sheetView workbookViewId="0">
      <selection activeCell="B9" sqref="B9"/>
    </sheetView>
  </sheetViews>
  <sheetFormatPr defaultRowHeight="15" x14ac:dyDescent="0.25"/>
  <cols>
    <col min="1" max="1" width="13.140625" bestFit="1" customWidth="1"/>
    <col min="2" max="2" width="12" bestFit="1" customWidth="1"/>
  </cols>
  <sheetData>
    <row r="3" spans="1:2" x14ac:dyDescent="0.25">
      <c r="A3" s="12" t="s">
        <v>40</v>
      </c>
      <c r="B3" t="s">
        <v>42</v>
      </c>
    </row>
    <row r="4" spans="1:2" x14ac:dyDescent="0.25">
      <c r="A4" s="13" t="s">
        <v>12</v>
      </c>
      <c r="B4" s="14">
        <v>449797</v>
      </c>
    </row>
    <row r="5" spans="1:2" x14ac:dyDescent="0.25">
      <c r="A5" s="13" t="s">
        <v>14</v>
      </c>
      <c r="B5" s="14">
        <v>325964</v>
      </c>
    </row>
    <row r="6" spans="1:2" x14ac:dyDescent="0.25">
      <c r="A6" s="13" t="s">
        <v>13</v>
      </c>
      <c r="B6" s="14">
        <v>334280</v>
      </c>
    </row>
    <row r="7" spans="1:2" x14ac:dyDescent="0.25">
      <c r="A7" s="13" t="s">
        <v>10</v>
      </c>
      <c r="B7" s="14">
        <v>482064</v>
      </c>
    </row>
    <row r="8" spans="1:2" x14ac:dyDescent="0.25">
      <c r="A8" s="13" t="s">
        <v>11</v>
      </c>
      <c r="B8" s="14">
        <v>682083</v>
      </c>
    </row>
    <row r="9" spans="1:2" x14ac:dyDescent="0.25">
      <c r="A9" s="13" t="s">
        <v>8</v>
      </c>
      <c r="B9" s="14">
        <v>502422</v>
      </c>
    </row>
    <row r="10" spans="1:2" x14ac:dyDescent="0.25">
      <c r="A10" s="13" t="s">
        <v>41</v>
      </c>
      <c r="B10" s="14">
        <v>2776610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A8A73-BE55-4AD1-9428-A79ECE27D2E7}">
  <sheetPr codeName="Sheet17"/>
  <dimension ref="A3:B8"/>
  <sheetViews>
    <sheetView workbookViewId="0">
      <selection activeCell="C20" sqref="C20"/>
    </sheetView>
  </sheetViews>
  <sheetFormatPr defaultRowHeight="15" x14ac:dyDescent="0.25"/>
  <cols>
    <col min="1" max="1" width="13.140625" bestFit="1" customWidth="1"/>
    <col min="2" max="2" width="12" bestFit="1" customWidth="1"/>
  </cols>
  <sheetData>
    <row r="3" spans="1:2" x14ac:dyDescent="0.25">
      <c r="A3" s="12" t="s">
        <v>40</v>
      </c>
      <c r="B3" t="s">
        <v>42</v>
      </c>
    </row>
    <row r="4" spans="1:2" x14ac:dyDescent="0.25">
      <c r="A4" s="13" t="s">
        <v>22</v>
      </c>
      <c r="B4" s="14">
        <v>522134</v>
      </c>
    </row>
    <row r="5" spans="1:2" x14ac:dyDescent="0.25">
      <c r="A5" s="13" t="s">
        <v>9</v>
      </c>
      <c r="B5" s="14">
        <v>796424</v>
      </c>
    </row>
    <row r="6" spans="1:2" x14ac:dyDescent="0.25">
      <c r="A6" s="13" t="s">
        <v>20</v>
      </c>
      <c r="B6" s="14">
        <v>811725</v>
      </c>
    </row>
    <row r="7" spans="1:2" x14ac:dyDescent="0.25">
      <c r="A7" s="13" t="s">
        <v>21</v>
      </c>
      <c r="B7" s="14">
        <v>646327</v>
      </c>
    </row>
    <row r="8" spans="1:2" x14ac:dyDescent="0.25">
      <c r="A8" s="13" t="s">
        <v>41</v>
      </c>
      <c r="B8" s="14">
        <v>2776610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topLeftCell="B1" workbookViewId="0">
      <selection activeCell="E9" sqref="E9"/>
    </sheetView>
  </sheetViews>
  <sheetFormatPr defaultRowHeight="15" x14ac:dyDescent="0.25"/>
  <cols>
    <col min="1" max="1" width="9.140625" style="1"/>
    <col min="2" max="2" width="7.85546875" bestFit="1" customWidth="1"/>
    <col min="3" max="4" width="9.5703125" bestFit="1" customWidth="1"/>
  </cols>
  <sheetData>
    <row r="2" spans="1:4" x14ac:dyDescent="0.25">
      <c r="B2" t="s">
        <v>25</v>
      </c>
    </row>
    <row r="3" spans="1:4" x14ac:dyDescent="0.25">
      <c r="B3" t="s">
        <v>26</v>
      </c>
    </row>
    <row r="4" spans="1:4" x14ac:dyDescent="0.25">
      <c r="B4" t="s">
        <v>27</v>
      </c>
    </row>
    <row r="5" spans="1:4" x14ac:dyDescent="0.25">
      <c r="B5" t="s">
        <v>28</v>
      </c>
    </row>
    <row r="6" spans="1:4" x14ac:dyDescent="0.25">
      <c r="B6" t="s">
        <v>35</v>
      </c>
    </row>
    <row r="7" spans="1:4" x14ac:dyDescent="0.25">
      <c r="B7" t="s">
        <v>36</v>
      </c>
    </row>
    <row r="8" spans="1:4" x14ac:dyDescent="0.25">
      <c r="B8" t="s">
        <v>37</v>
      </c>
    </row>
    <row r="9" spans="1:4" x14ac:dyDescent="0.25">
      <c r="B9" t="s">
        <v>29</v>
      </c>
    </row>
    <row r="10" spans="1:4" ht="15.75" x14ac:dyDescent="0.25">
      <c r="B10" s="6" t="s">
        <v>38</v>
      </c>
      <c r="C10" s="6"/>
    </row>
    <row r="11" spans="1:4" ht="15.75" x14ac:dyDescent="0.25">
      <c r="B11" s="6" t="s">
        <v>39</v>
      </c>
      <c r="C11" s="6"/>
    </row>
    <row r="12" spans="1:4" ht="15.75" x14ac:dyDescent="0.25">
      <c r="B12" s="6"/>
      <c r="C12" s="6"/>
    </row>
    <row r="13" spans="1:4" ht="15.75" x14ac:dyDescent="0.25">
      <c r="B13" s="10" t="s">
        <v>34</v>
      </c>
      <c r="C13" s="6"/>
    </row>
    <row r="15" spans="1:4" x14ac:dyDescent="0.25">
      <c r="A15" s="1">
        <v>1</v>
      </c>
      <c r="B15" s="7" t="s">
        <v>3</v>
      </c>
      <c r="C15" s="7" t="s">
        <v>23</v>
      </c>
      <c r="D15" s="8"/>
    </row>
    <row r="16" spans="1:4" x14ac:dyDescent="0.25">
      <c r="A16" s="1">
        <v>2</v>
      </c>
      <c r="B16" s="9" t="s">
        <v>1</v>
      </c>
      <c r="C16" s="7" t="s">
        <v>23</v>
      </c>
      <c r="D16" s="8"/>
    </row>
    <row r="17" spans="1:7" x14ac:dyDescent="0.25">
      <c r="A17" s="1">
        <v>3</v>
      </c>
      <c r="B17" s="7" t="s">
        <v>3</v>
      </c>
      <c r="C17" s="9" t="s">
        <v>1</v>
      </c>
      <c r="D17" s="7" t="s">
        <v>4</v>
      </c>
    </row>
    <row r="18" spans="1:7" x14ac:dyDescent="0.25">
      <c r="A18" s="1">
        <v>4</v>
      </c>
      <c r="B18" s="9" t="s">
        <v>0</v>
      </c>
      <c r="C18" s="7" t="s">
        <v>1</v>
      </c>
      <c r="D18" s="7" t="s">
        <v>23</v>
      </c>
      <c r="F18" s="5"/>
      <c r="G18" t="s">
        <v>30</v>
      </c>
    </row>
    <row r="21" spans="1:7" x14ac:dyDescent="0.25">
      <c r="A21" s="4" t="s">
        <v>24</v>
      </c>
      <c r="B21" t="s">
        <v>31</v>
      </c>
      <c r="C21" t="s">
        <v>32</v>
      </c>
      <c r="D21" t="s">
        <v>33</v>
      </c>
      <c r="E21" t="s">
        <v>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62"/>
  <sheetViews>
    <sheetView topLeftCell="A2" workbookViewId="0">
      <selection activeCell="F9" sqref="F9"/>
    </sheetView>
  </sheetViews>
  <sheetFormatPr defaultRowHeight="15" x14ac:dyDescent="0.25"/>
  <cols>
    <col min="2" max="2" width="11.28515625" bestFit="1" customWidth="1"/>
    <col min="3" max="3" width="10" customWidth="1"/>
  </cols>
  <sheetData>
    <row r="1" spans="1:8" x14ac:dyDescent="0.25">
      <c r="A1" s="11" t="s">
        <v>7</v>
      </c>
      <c r="B1" s="11" t="s">
        <v>0</v>
      </c>
      <c r="C1" s="11" t="s">
        <v>1</v>
      </c>
      <c r="D1" s="11" t="s">
        <v>2</v>
      </c>
      <c r="E1" s="11" t="s">
        <v>3</v>
      </c>
      <c r="F1" s="11" t="s">
        <v>4</v>
      </c>
      <c r="G1" s="11" t="s">
        <v>5</v>
      </c>
      <c r="H1" s="11" t="s">
        <v>6</v>
      </c>
    </row>
    <row r="2" spans="1:8" x14ac:dyDescent="0.25">
      <c r="A2">
        <v>1</v>
      </c>
      <c r="B2" s="3">
        <v>40179</v>
      </c>
      <c r="C2" t="s">
        <v>10</v>
      </c>
      <c r="D2" t="s">
        <v>15</v>
      </c>
      <c r="E2" t="s">
        <v>9</v>
      </c>
      <c r="F2">
        <v>16</v>
      </c>
      <c r="G2">
        <v>2665</v>
      </c>
      <c r="H2">
        <f>F2*G2</f>
        <v>42640</v>
      </c>
    </row>
    <row r="3" spans="1:8" x14ac:dyDescent="0.25">
      <c r="A3">
        <v>2</v>
      </c>
      <c r="B3" s="3">
        <v>40180</v>
      </c>
      <c r="C3" t="s">
        <v>8</v>
      </c>
      <c r="D3" t="s">
        <v>16</v>
      </c>
      <c r="E3" t="s">
        <v>9</v>
      </c>
      <c r="F3">
        <v>16</v>
      </c>
      <c r="G3">
        <v>3971</v>
      </c>
      <c r="H3">
        <f t="shared" ref="H3:H16"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3755</v>
      </c>
      <c r="H5">
        <f t="shared" si="0"/>
        <v>60080</v>
      </c>
    </row>
    <row r="6" spans="1:8" x14ac:dyDescent="0.25">
      <c r="A6">
        <v>5</v>
      </c>
      <c r="B6" s="3">
        <v>40183</v>
      </c>
      <c r="C6" t="s">
        <v>14</v>
      </c>
      <c r="D6" t="s">
        <v>19</v>
      </c>
      <c r="E6" t="s">
        <v>9</v>
      </c>
      <c r="F6">
        <v>17</v>
      </c>
      <c r="G6">
        <v>4545</v>
      </c>
      <c r="H6">
        <f t="shared" si="0"/>
        <v>77265</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2554</v>
      </c>
      <c r="H8">
        <f t="shared" si="0"/>
        <v>40864</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5600</v>
      </c>
      <c r="H11">
        <f t="shared" si="0"/>
        <v>78400</v>
      </c>
    </row>
    <row r="12" spans="1:8" x14ac:dyDescent="0.25">
      <c r="A12">
        <v>11</v>
      </c>
      <c r="B12" s="3">
        <v>40184</v>
      </c>
      <c r="C12" t="s">
        <v>10</v>
      </c>
      <c r="D12" t="s">
        <v>15</v>
      </c>
      <c r="E12" t="s">
        <v>9</v>
      </c>
      <c r="F12">
        <v>11</v>
      </c>
      <c r="G12">
        <v>2366</v>
      </c>
      <c r="H12">
        <f t="shared" si="0"/>
        <v>26026</v>
      </c>
    </row>
    <row r="13" spans="1:8" x14ac:dyDescent="0.25">
      <c r="A13">
        <v>12</v>
      </c>
      <c r="B13" s="3">
        <v>40185</v>
      </c>
      <c r="C13" t="s">
        <v>8</v>
      </c>
      <c r="D13" t="s">
        <v>16</v>
      </c>
      <c r="E13" t="s">
        <v>9</v>
      </c>
      <c r="F13">
        <v>16</v>
      </c>
      <c r="G13">
        <v>4610</v>
      </c>
      <c r="H13">
        <f t="shared" si="0"/>
        <v>73760</v>
      </c>
    </row>
    <row r="14" spans="1:8" x14ac:dyDescent="0.25">
      <c r="A14">
        <v>13</v>
      </c>
      <c r="B14" s="3">
        <v>40186</v>
      </c>
      <c r="C14" t="s">
        <v>12</v>
      </c>
      <c r="D14" t="s">
        <v>17</v>
      </c>
      <c r="E14" t="s">
        <v>9</v>
      </c>
      <c r="F14">
        <v>18</v>
      </c>
      <c r="G14">
        <v>2221</v>
      </c>
      <c r="H14">
        <f t="shared" si="0"/>
        <v>39978</v>
      </c>
    </row>
    <row r="15" spans="1:8" x14ac:dyDescent="0.25">
      <c r="A15">
        <v>14</v>
      </c>
      <c r="B15" s="3">
        <v>40187</v>
      </c>
      <c r="C15" t="s">
        <v>11</v>
      </c>
      <c r="D15" t="s">
        <v>18</v>
      </c>
      <c r="E15" t="s">
        <v>9</v>
      </c>
      <c r="F15">
        <v>14</v>
      </c>
      <c r="G15">
        <v>2533</v>
      </c>
      <c r="H15">
        <f t="shared" si="0"/>
        <v>35462</v>
      </c>
    </row>
    <row r="16" spans="1:8" x14ac:dyDescent="0.25">
      <c r="A16">
        <v>15</v>
      </c>
      <c r="B16" s="3">
        <v>40188</v>
      </c>
      <c r="C16" t="s">
        <v>14</v>
      </c>
      <c r="D16" t="s">
        <v>19</v>
      </c>
      <c r="E16" t="s">
        <v>9</v>
      </c>
      <c r="F16">
        <v>14</v>
      </c>
      <c r="G16">
        <v>4190</v>
      </c>
      <c r="H16">
        <f t="shared" si="0"/>
        <v>58660</v>
      </c>
    </row>
    <row r="17" spans="1:8" x14ac:dyDescent="0.25">
      <c r="A17">
        <v>16</v>
      </c>
      <c r="B17" s="3">
        <v>40179</v>
      </c>
      <c r="C17" t="s">
        <v>8</v>
      </c>
      <c r="D17" t="s">
        <v>15</v>
      </c>
      <c r="E17" t="s">
        <v>20</v>
      </c>
      <c r="F17">
        <v>16</v>
      </c>
      <c r="G17">
        <v>2741</v>
      </c>
      <c r="H17">
        <f>F17*G17</f>
        <v>43856</v>
      </c>
    </row>
    <row r="18" spans="1:8" x14ac:dyDescent="0.25">
      <c r="A18">
        <v>17</v>
      </c>
      <c r="B18" s="3">
        <v>40180</v>
      </c>
      <c r="C18" t="s">
        <v>10</v>
      </c>
      <c r="D18" t="s">
        <v>16</v>
      </c>
      <c r="E18" t="s">
        <v>20</v>
      </c>
      <c r="F18">
        <v>11</v>
      </c>
      <c r="G18">
        <v>2722</v>
      </c>
      <c r="H18">
        <f t="shared" ref="H18:H31" si="1">F18*G18</f>
        <v>29942</v>
      </c>
    </row>
    <row r="19" spans="1:8" x14ac:dyDescent="0.25">
      <c r="A19">
        <v>18</v>
      </c>
      <c r="B19" s="3">
        <v>40181</v>
      </c>
      <c r="C19" t="s">
        <v>11</v>
      </c>
      <c r="D19" t="s">
        <v>17</v>
      </c>
      <c r="E19" t="s">
        <v>20</v>
      </c>
      <c r="F19">
        <v>18</v>
      </c>
      <c r="G19">
        <v>2900</v>
      </c>
      <c r="H19">
        <f t="shared" si="1"/>
        <v>52200</v>
      </c>
    </row>
    <row r="20" spans="1:8" x14ac:dyDescent="0.25">
      <c r="A20">
        <v>19</v>
      </c>
      <c r="B20" s="3">
        <v>40182</v>
      </c>
      <c r="C20" t="s">
        <v>12</v>
      </c>
      <c r="D20" t="s">
        <v>18</v>
      </c>
      <c r="E20" t="s">
        <v>20</v>
      </c>
      <c r="F20">
        <v>33</v>
      </c>
      <c r="G20">
        <v>2895</v>
      </c>
      <c r="H20">
        <f t="shared" si="1"/>
        <v>95535</v>
      </c>
    </row>
    <row r="21" spans="1:8" x14ac:dyDescent="0.25">
      <c r="A21">
        <v>20</v>
      </c>
      <c r="B21" s="3">
        <v>40183</v>
      </c>
      <c r="C21" t="s">
        <v>13</v>
      </c>
      <c r="D21" t="s">
        <v>19</v>
      </c>
      <c r="E21" t="s">
        <v>20</v>
      </c>
      <c r="F21">
        <v>10</v>
      </c>
      <c r="G21">
        <v>4569</v>
      </c>
      <c r="H21">
        <f t="shared" si="1"/>
        <v>45690</v>
      </c>
    </row>
    <row r="22" spans="1:8" x14ac:dyDescent="0.25">
      <c r="A22">
        <v>21</v>
      </c>
      <c r="B22" s="3">
        <v>40184</v>
      </c>
      <c r="C22" t="s">
        <v>13</v>
      </c>
      <c r="D22" t="s">
        <v>15</v>
      </c>
      <c r="E22" t="s">
        <v>20</v>
      </c>
      <c r="F22">
        <v>11</v>
      </c>
      <c r="G22">
        <v>3782</v>
      </c>
      <c r="H22">
        <f t="shared" si="1"/>
        <v>41602</v>
      </c>
    </row>
    <row r="23" spans="1:8" x14ac:dyDescent="0.25">
      <c r="A23">
        <v>22</v>
      </c>
      <c r="B23" s="3">
        <v>40185</v>
      </c>
      <c r="C23" t="s">
        <v>10</v>
      </c>
      <c r="D23" t="s">
        <v>16</v>
      </c>
      <c r="E23" t="s">
        <v>20</v>
      </c>
      <c r="F23">
        <v>15</v>
      </c>
      <c r="G23">
        <v>2598</v>
      </c>
      <c r="H23">
        <f t="shared" si="1"/>
        <v>38970</v>
      </c>
    </row>
    <row r="24" spans="1:8" x14ac:dyDescent="0.25">
      <c r="A24">
        <v>23</v>
      </c>
      <c r="B24" s="3">
        <v>40186</v>
      </c>
      <c r="C24" t="s">
        <v>11</v>
      </c>
      <c r="D24" t="s">
        <v>17</v>
      </c>
      <c r="E24" t="s">
        <v>20</v>
      </c>
      <c r="F24">
        <v>12</v>
      </c>
      <c r="G24">
        <v>4729</v>
      </c>
      <c r="H24">
        <f t="shared" si="1"/>
        <v>56748</v>
      </c>
    </row>
    <row r="25" spans="1:8" x14ac:dyDescent="0.25">
      <c r="A25">
        <v>24</v>
      </c>
      <c r="B25" s="3">
        <v>40187</v>
      </c>
      <c r="C25" t="s">
        <v>12</v>
      </c>
      <c r="D25" t="s">
        <v>15</v>
      </c>
      <c r="E25" t="s">
        <v>20</v>
      </c>
      <c r="F25">
        <v>12</v>
      </c>
      <c r="G25">
        <v>4007</v>
      </c>
      <c r="H25">
        <f t="shared" si="1"/>
        <v>48084</v>
      </c>
    </row>
    <row r="26" spans="1:8" x14ac:dyDescent="0.25">
      <c r="A26">
        <v>25</v>
      </c>
      <c r="B26" s="3">
        <v>40188</v>
      </c>
      <c r="C26" t="s">
        <v>13</v>
      </c>
      <c r="D26" t="s">
        <v>19</v>
      </c>
      <c r="E26" t="s">
        <v>20</v>
      </c>
      <c r="F26">
        <v>28</v>
      </c>
      <c r="G26">
        <v>3459</v>
      </c>
      <c r="H26">
        <f t="shared" si="1"/>
        <v>96852</v>
      </c>
    </row>
    <row r="27" spans="1:8" x14ac:dyDescent="0.25">
      <c r="A27">
        <v>26</v>
      </c>
      <c r="B27" s="3">
        <v>40184</v>
      </c>
      <c r="C27" t="s">
        <v>8</v>
      </c>
      <c r="D27" t="s">
        <v>15</v>
      </c>
      <c r="E27" t="s">
        <v>20</v>
      </c>
      <c r="F27">
        <v>11</v>
      </c>
      <c r="G27">
        <v>2541</v>
      </c>
      <c r="H27">
        <f t="shared" si="1"/>
        <v>27951</v>
      </c>
    </row>
    <row r="28" spans="1:8" x14ac:dyDescent="0.25">
      <c r="A28">
        <v>27</v>
      </c>
      <c r="B28" s="3">
        <v>40185</v>
      </c>
      <c r="C28" t="s">
        <v>10</v>
      </c>
      <c r="D28" t="s">
        <v>16</v>
      </c>
      <c r="E28" t="s">
        <v>20</v>
      </c>
      <c r="F28">
        <v>25</v>
      </c>
      <c r="G28">
        <v>3655</v>
      </c>
      <c r="H28">
        <f t="shared" si="1"/>
        <v>91375</v>
      </c>
    </row>
    <row r="29" spans="1:8" x14ac:dyDescent="0.25">
      <c r="A29">
        <v>28</v>
      </c>
      <c r="B29" s="3">
        <v>40186</v>
      </c>
      <c r="C29" t="s">
        <v>11</v>
      </c>
      <c r="D29" t="s">
        <v>17</v>
      </c>
      <c r="E29" t="s">
        <v>20</v>
      </c>
      <c r="F29">
        <v>12</v>
      </c>
      <c r="G29">
        <v>4729</v>
      </c>
      <c r="H29">
        <f t="shared" si="1"/>
        <v>56748</v>
      </c>
    </row>
    <row r="30" spans="1:8" x14ac:dyDescent="0.25">
      <c r="A30">
        <v>29</v>
      </c>
      <c r="B30" s="3">
        <v>40187</v>
      </c>
      <c r="C30" t="s">
        <v>8</v>
      </c>
      <c r="D30" t="s">
        <v>18</v>
      </c>
      <c r="E30" t="s">
        <v>20</v>
      </c>
      <c r="F30">
        <v>12</v>
      </c>
      <c r="G30">
        <v>4007</v>
      </c>
      <c r="H30">
        <f t="shared" si="1"/>
        <v>48084</v>
      </c>
    </row>
    <row r="31" spans="1:8" x14ac:dyDescent="0.25">
      <c r="A31">
        <v>30</v>
      </c>
      <c r="B31" s="3">
        <v>40188</v>
      </c>
      <c r="C31" t="s">
        <v>13</v>
      </c>
      <c r="D31" t="s">
        <v>19</v>
      </c>
      <c r="E31" t="s">
        <v>20</v>
      </c>
      <c r="F31">
        <v>9</v>
      </c>
      <c r="G31">
        <v>4232</v>
      </c>
      <c r="H31">
        <f t="shared" si="1"/>
        <v>38088</v>
      </c>
    </row>
    <row r="32" spans="1:8" x14ac:dyDescent="0.25">
      <c r="A32">
        <v>31</v>
      </c>
      <c r="B32" s="3">
        <v>40179</v>
      </c>
      <c r="C32" t="s">
        <v>13</v>
      </c>
      <c r="D32" t="s">
        <v>15</v>
      </c>
      <c r="E32" t="s">
        <v>22</v>
      </c>
      <c r="F32">
        <v>5</v>
      </c>
      <c r="G32">
        <v>3270</v>
      </c>
      <c r="H32">
        <f>F32*G32</f>
        <v>16350</v>
      </c>
    </row>
    <row r="33" spans="1:8" x14ac:dyDescent="0.25">
      <c r="A33">
        <v>32</v>
      </c>
      <c r="B33" s="3">
        <v>40180</v>
      </c>
      <c r="C33" t="s">
        <v>12</v>
      </c>
      <c r="D33" t="s">
        <v>16</v>
      </c>
      <c r="E33" t="s">
        <v>22</v>
      </c>
      <c r="F33">
        <v>17</v>
      </c>
      <c r="G33">
        <v>4245</v>
      </c>
      <c r="H33">
        <f t="shared" ref="H33:H47" si="2">F33*G33</f>
        <v>72165</v>
      </c>
    </row>
    <row r="34" spans="1:8" x14ac:dyDescent="0.25">
      <c r="A34">
        <v>33</v>
      </c>
      <c r="B34" s="3">
        <v>40181</v>
      </c>
      <c r="C34" t="s">
        <v>13</v>
      </c>
      <c r="D34" t="s">
        <v>17</v>
      </c>
      <c r="E34" t="s">
        <v>22</v>
      </c>
      <c r="F34">
        <v>5</v>
      </c>
      <c r="G34">
        <v>4864</v>
      </c>
      <c r="H34">
        <f t="shared" si="2"/>
        <v>24320</v>
      </c>
    </row>
    <row r="35" spans="1:8" x14ac:dyDescent="0.25">
      <c r="A35">
        <v>34</v>
      </c>
      <c r="B35" s="3">
        <v>40182</v>
      </c>
      <c r="C35" t="s">
        <v>13</v>
      </c>
      <c r="D35" t="s">
        <v>18</v>
      </c>
      <c r="E35" t="s">
        <v>22</v>
      </c>
      <c r="F35">
        <v>6</v>
      </c>
      <c r="G35">
        <v>2381</v>
      </c>
      <c r="H35">
        <f t="shared" si="2"/>
        <v>14286</v>
      </c>
    </row>
    <row r="36" spans="1:8" x14ac:dyDescent="0.25">
      <c r="A36">
        <v>35</v>
      </c>
      <c r="B36" s="3">
        <v>40183</v>
      </c>
      <c r="C36" t="s">
        <v>8</v>
      </c>
      <c r="D36" t="s">
        <v>19</v>
      </c>
      <c r="E36" t="s">
        <v>22</v>
      </c>
      <c r="F36">
        <v>10</v>
      </c>
      <c r="G36">
        <v>3503</v>
      </c>
      <c r="H36">
        <f t="shared" si="2"/>
        <v>35030</v>
      </c>
    </row>
    <row r="37" spans="1:8" x14ac:dyDescent="0.25">
      <c r="A37">
        <v>36</v>
      </c>
      <c r="B37" s="3">
        <v>40184</v>
      </c>
      <c r="C37" t="s">
        <v>13</v>
      </c>
      <c r="D37" t="s">
        <v>15</v>
      </c>
      <c r="E37" t="s">
        <v>22</v>
      </c>
      <c r="F37">
        <v>5</v>
      </c>
      <c r="G37">
        <v>3176</v>
      </c>
      <c r="H37">
        <f t="shared" si="2"/>
        <v>15880</v>
      </c>
    </row>
    <row r="38" spans="1:8" x14ac:dyDescent="0.25">
      <c r="A38">
        <v>37</v>
      </c>
      <c r="B38" s="3">
        <v>40185</v>
      </c>
      <c r="C38" t="s">
        <v>12</v>
      </c>
      <c r="D38" t="s">
        <v>16</v>
      </c>
      <c r="E38" t="s">
        <v>22</v>
      </c>
      <c r="F38">
        <v>12</v>
      </c>
      <c r="G38">
        <v>4192</v>
      </c>
      <c r="H38">
        <f t="shared" si="2"/>
        <v>50304</v>
      </c>
    </row>
    <row r="39" spans="1:8" x14ac:dyDescent="0.25">
      <c r="A39">
        <v>38</v>
      </c>
      <c r="B39" s="3">
        <v>40186</v>
      </c>
      <c r="C39" t="s">
        <v>13</v>
      </c>
      <c r="D39" t="s">
        <v>19</v>
      </c>
      <c r="E39" t="s">
        <v>22</v>
      </c>
      <c r="F39">
        <v>2</v>
      </c>
      <c r="G39">
        <v>4793</v>
      </c>
      <c r="H39">
        <f t="shared" si="2"/>
        <v>9586</v>
      </c>
    </row>
    <row r="40" spans="1:8" x14ac:dyDescent="0.25">
      <c r="A40">
        <v>39</v>
      </c>
      <c r="B40" s="3">
        <v>40187</v>
      </c>
      <c r="C40" t="s">
        <v>13</v>
      </c>
      <c r="D40" t="s">
        <v>18</v>
      </c>
      <c r="E40" t="s">
        <v>22</v>
      </c>
      <c r="F40">
        <v>5</v>
      </c>
      <c r="G40">
        <v>2204</v>
      </c>
      <c r="H40">
        <f t="shared" si="2"/>
        <v>11020</v>
      </c>
    </row>
    <row r="41" spans="1:8" x14ac:dyDescent="0.25">
      <c r="A41">
        <v>40</v>
      </c>
      <c r="B41" s="3">
        <v>40188</v>
      </c>
      <c r="C41" t="s">
        <v>11</v>
      </c>
      <c r="D41" t="s">
        <v>19</v>
      </c>
      <c r="E41" t="s">
        <v>22</v>
      </c>
      <c r="F41">
        <v>18</v>
      </c>
      <c r="G41">
        <v>4183</v>
      </c>
      <c r="H41">
        <f t="shared" si="2"/>
        <v>75294</v>
      </c>
    </row>
    <row r="42" spans="1:8" x14ac:dyDescent="0.25">
      <c r="A42">
        <v>41</v>
      </c>
      <c r="B42" s="3">
        <v>40183</v>
      </c>
      <c r="C42" t="s">
        <v>11</v>
      </c>
      <c r="D42" t="s">
        <v>19</v>
      </c>
      <c r="E42" t="s">
        <v>22</v>
      </c>
      <c r="F42">
        <v>10</v>
      </c>
      <c r="G42">
        <v>3503</v>
      </c>
      <c r="H42">
        <f t="shared" si="2"/>
        <v>35030</v>
      </c>
    </row>
    <row r="43" spans="1:8" x14ac:dyDescent="0.25">
      <c r="A43">
        <v>42</v>
      </c>
      <c r="B43" s="3">
        <v>40184</v>
      </c>
      <c r="C43" t="s">
        <v>10</v>
      </c>
      <c r="D43" t="s">
        <v>15</v>
      </c>
      <c r="E43" t="s">
        <v>22</v>
      </c>
      <c r="F43">
        <v>5</v>
      </c>
      <c r="G43">
        <v>3333</v>
      </c>
      <c r="H43">
        <f t="shared" si="2"/>
        <v>16665</v>
      </c>
    </row>
    <row r="44" spans="1:8" x14ac:dyDescent="0.25">
      <c r="A44">
        <v>43</v>
      </c>
      <c r="B44" s="3">
        <v>40185</v>
      </c>
      <c r="C44" t="s">
        <v>12</v>
      </c>
      <c r="D44" t="s">
        <v>16</v>
      </c>
      <c r="E44" t="s">
        <v>22</v>
      </c>
      <c r="F44">
        <v>12</v>
      </c>
      <c r="G44">
        <v>4192</v>
      </c>
      <c r="H44">
        <f t="shared" si="2"/>
        <v>50304</v>
      </c>
    </row>
    <row r="45" spans="1:8" x14ac:dyDescent="0.25">
      <c r="A45">
        <v>44</v>
      </c>
      <c r="B45" s="3">
        <v>40186</v>
      </c>
      <c r="C45" t="s">
        <v>13</v>
      </c>
      <c r="D45" t="s">
        <v>17</v>
      </c>
      <c r="E45" t="s">
        <v>22</v>
      </c>
      <c r="F45">
        <v>2</v>
      </c>
      <c r="G45">
        <v>4793</v>
      </c>
      <c r="H45">
        <f t="shared" si="2"/>
        <v>9586</v>
      </c>
    </row>
    <row r="46" spans="1:8" x14ac:dyDescent="0.25">
      <c r="A46">
        <v>45</v>
      </c>
      <c r="B46" s="3">
        <v>40187</v>
      </c>
      <c r="C46" t="s">
        <v>13</v>
      </c>
      <c r="D46" t="s">
        <v>18</v>
      </c>
      <c r="E46" t="s">
        <v>22</v>
      </c>
      <c r="F46">
        <v>5</v>
      </c>
      <c r="G46">
        <v>2204</v>
      </c>
      <c r="H46">
        <f t="shared" si="2"/>
        <v>11020</v>
      </c>
    </row>
    <row r="47" spans="1:8" x14ac:dyDescent="0.25">
      <c r="A47">
        <v>46</v>
      </c>
      <c r="B47" s="3">
        <v>40188</v>
      </c>
      <c r="C47" t="s">
        <v>11</v>
      </c>
      <c r="D47" t="s">
        <v>19</v>
      </c>
      <c r="E47" t="s">
        <v>22</v>
      </c>
      <c r="F47">
        <v>18</v>
      </c>
      <c r="G47">
        <v>4183</v>
      </c>
      <c r="H47">
        <f t="shared" si="2"/>
        <v>75294</v>
      </c>
    </row>
    <row r="48" spans="1:8" x14ac:dyDescent="0.25">
      <c r="A48">
        <v>47</v>
      </c>
      <c r="B48" s="3">
        <v>40179</v>
      </c>
      <c r="C48" t="s">
        <v>11</v>
      </c>
      <c r="D48" t="s">
        <v>15</v>
      </c>
      <c r="E48" t="s">
        <v>21</v>
      </c>
      <c r="F48">
        <v>10</v>
      </c>
      <c r="G48">
        <v>4057</v>
      </c>
      <c r="H48">
        <f>F48*G48</f>
        <v>40570</v>
      </c>
    </row>
    <row r="49" spans="1:8" x14ac:dyDescent="0.25">
      <c r="A49">
        <v>48</v>
      </c>
      <c r="B49" s="3">
        <v>40180</v>
      </c>
      <c r="C49" t="s">
        <v>14</v>
      </c>
      <c r="D49" t="s">
        <v>16</v>
      </c>
      <c r="E49" t="s">
        <v>21</v>
      </c>
      <c r="F49">
        <v>18</v>
      </c>
      <c r="G49">
        <v>3809</v>
      </c>
      <c r="H49">
        <f t="shared" ref="H49:H62" si="3">F49*G49</f>
        <v>68562</v>
      </c>
    </row>
    <row r="50" spans="1:8" x14ac:dyDescent="0.25">
      <c r="A50">
        <v>49</v>
      </c>
      <c r="B50" s="3">
        <v>40181</v>
      </c>
      <c r="C50" t="s">
        <v>10</v>
      </c>
      <c r="D50" t="s">
        <v>17</v>
      </c>
      <c r="E50" t="s">
        <v>21</v>
      </c>
      <c r="F50">
        <v>5</v>
      </c>
      <c r="G50">
        <v>4444</v>
      </c>
      <c r="H50">
        <f t="shared" si="3"/>
        <v>22220</v>
      </c>
    </row>
    <row r="51" spans="1:8" x14ac:dyDescent="0.25">
      <c r="A51">
        <v>50</v>
      </c>
      <c r="B51" s="3">
        <v>40182</v>
      </c>
      <c r="C51" t="s">
        <v>8</v>
      </c>
      <c r="D51" t="s">
        <v>18</v>
      </c>
      <c r="E51" t="s">
        <v>21</v>
      </c>
      <c r="F51">
        <v>10</v>
      </c>
      <c r="G51">
        <v>2346</v>
      </c>
      <c r="H51">
        <f t="shared" si="3"/>
        <v>23460</v>
      </c>
    </row>
    <row r="52" spans="1:8" x14ac:dyDescent="0.25">
      <c r="A52">
        <v>51</v>
      </c>
      <c r="B52" s="3">
        <v>40183</v>
      </c>
      <c r="C52" t="s">
        <v>8</v>
      </c>
      <c r="D52" t="s">
        <v>19</v>
      </c>
      <c r="E52" t="s">
        <v>21</v>
      </c>
      <c r="F52">
        <v>8</v>
      </c>
      <c r="G52">
        <v>4953</v>
      </c>
      <c r="H52">
        <f t="shared" si="3"/>
        <v>39624</v>
      </c>
    </row>
    <row r="53" spans="1:8" x14ac:dyDescent="0.25">
      <c r="A53">
        <v>52</v>
      </c>
      <c r="B53" s="3">
        <v>40184</v>
      </c>
      <c r="C53" t="s">
        <v>11</v>
      </c>
      <c r="D53" t="s">
        <v>15</v>
      </c>
      <c r="E53" t="s">
        <v>21</v>
      </c>
      <c r="F53">
        <v>18</v>
      </c>
      <c r="G53">
        <v>3222</v>
      </c>
      <c r="H53">
        <f t="shared" si="3"/>
        <v>57996</v>
      </c>
    </row>
    <row r="54" spans="1:8" x14ac:dyDescent="0.25">
      <c r="A54">
        <v>53</v>
      </c>
      <c r="B54" s="3">
        <v>40185</v>
      </c>
      <c r="C54" t="s">
        <v>14</v>
      </c>
      <c r="D54" t="s">
        <v>16</v>
      </c>
      <c r="E54" t="s">
        <v>21</v>
      </c>
      <c r="F54">
        <v>12</v>
      </c>
      <c r="G54">
        <v>2531</v>
      </c>
      <c r="H54">
        <f t="shared" si="3"/>
        <v>30372</v>
      </c>
    </row>
    <row r="55" spans="1:8" x14ac:dyDescent="0.25">
      <c r="A55">
        <v>54</v>
      </c>
      <c r="B55" s="3">
        <v>40186</v>
      </c>
      <c r="C55" t="s">
        <v>10</v>
      </c>
      <c r="D55" t="s">
        <v>17</v>
      </c>
      <c r="E55" t="s">
        <v>21</v>
      </c>
      <c r="F55">
        <v>13</v>
      </c>
      <c r="G55">
        <v>7474</v>
      </c>
      <c r="H55">
        <f t="shared" si="3"/>
        <v>97162</v>
      </c>
    </row>
    <row r="56" spans="1:8" x14ac:dyDescent="0.25">
      <c r="A56">
        <v>55</v>
      </c>
      <c r="B56" s="3">
        <v>40187</v>
      </c>
      <c r="C56" t="s">
        <v>8</v>
      </c>
      <c r="D56" t="s">
        <v>18</v>
      </c>
      <c r="E56" t="s">
        <v>21</v>
      </c>
      <c r="F56">
        <v>11</v>
      </c>
      <c r="G56">
        <v>2806</v>
      </c>
      <c r="H56">
        <f t="shared" si="3"/>
        <v>30866</v>
      </c>
    </row>
    <row r="57" spans="1:8" x14ac:dyDescent="0.25">
      <c r="A57">
        <v>56</v>
      </c>
      <c r="B57" s="3">
        <v>40188</v>
      </c>
      <c r="C57" t="s">
        <v>8</v>
      </c>
      <c r="D57" t="s">
        <v>19</v>
      </c>
      <c r="E57" t="s">
        <v>21</v>
      </c>
      <c r="F57">
        <v>5</v>
      </c>
      <c r="G57">
        <v>3350</v>
      </c>
      <c r="H57">
        <f t="shared" si="3"/>
        <v>16750</v>
      </c>
    </row>
    <row r="58" spans="1:8" x14ac:dyDescent="0.25">
      <c r="A58">
        <v>57</v>
      </c>
      <c r="B58" s="3">
        <v>40184</v>
      </c>
      <c r="C58" t="s">
        <v>11</v>
      </c>
      <c r="D58" t="s">
        <v>15</v>
      </c>
      <c r="E58" t="s">
        <v>21</v>
      </c>
      <c r="F58">
        <v>25</v>
      </c>
      <c r="G58">
        <v>3255</v>
      </c>
      <c r="H58">
        <f t="shared" si="3"/>
        <v>81375</v>
      </c>
    </row>
    <row r="59" spans="1:8" x14ac:dyDescent="0.25">
      <c r="A59">
        <v>58</v>
      </c>
      <c r="B59" s="3">
        <v>40185</v>
      </c>
      <c r="C59" t="s">
        <v>14</v>
      </c>
      <c r="D59" t="s">
        <v>16</v>
      </c>
      <c r="E59" t="s">
        <v>21</v>
      </c>
      <c r="F59">
        <v>15</v>
      </c>
      <c r="G59">
        <v>847</v>
      </c>
      <c r="H59">
        <f t="shared" si="3"/>
        <v>12705</v>
      </c>
    </row>
    <row r="60" spans="1:8" x14ac:dyDescent="0.25">
      <c r="A60">
        <v>59</v>
      </c>
      <c r="B60" s="3">
        <v>40186</v>
      </c>
      <c r="C60" t="s">
        <v>10</v>
      </c>
      <c r="D60" t="s">
        <v>17</v>
      </c>
      <c r="E60" t="s">
        <v>21</v>
      </c>
      <c r="F60">
        <v>14</v>
      </c>
      <c r="G60">
        <v>4716</v>
      </c>
      <c r="H60">
        <f t="shared" si="3"/>
        <v>66024</v>
      </c>
    </row>
    <row r="61" spans="1:8" x14ac:dyDescent="0.25">
      <c r="A61">
        <v>60</v>
      </c>
      <c r="B61" s="3">
        <v>40187</v>
      </c>
      <c r="C61" t="s">
        <v>8</v>
      </c>
      <c r="D61" t="s">
        <v>18</v>
      </c>
      <c r="E61" t="s">
        <v>21</v>
      </c>
      <c r="F61">
        <v>11</v>
      </c>
      <c r="G61">
        <v>2806</v>
      </c>
      <c r="H61">
        <f t="shared" si="3"/>
        <v>30866</v>
      </c>
    </row>
    <row r="62" spans="1:8" x14ac:dyDescent="0.25">
      <c r="A62">
        <v>61</v>
      </c>
      <c r="B62" s="3">
        <v>40188</v>
      </c>
      <c r="C62" t="s">
        <v>8</v>
      </c>
      <c r="D62" t="s">
        <v>19</v>
      </c>
      <c r="E62" t="s">
        <v>21</v>
      </c>
      <c r="F62">
        <v>5</v>
      </c>
      <c r="G62">
        <v>5555</v>
      </c>
      <c r="H62">
        <f t="shared" si="3"/>
        <v>27775</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election sqref="A1: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16</v>
      </c>
      <c r="G2">
        <v>2665</v>
      </c>
      <c r="H2">
        <f>F2*G2</f>
        <v>42640</v>
      </c>
    </row>
    <row r="3" spans="1:8" x14ac:dyDescent="0.25">
      <c r="A3">
        <v>2</v>
      </c>
      <c r="B3" s="3">
        <v>40180</v>
      </c>
      <c r="C3" t="s">
        <v>8</v>
      </c>
      <c r="D3" t="s">
        <v>16</v>
      </c>
      <c r="E3" t="s">
        <v>9</v>
      </c>
      <c r="F3">
        <v>16</v>
      </c>
      <c r="G3">
        <v>3971</v>
      </c>
      <c r="H3">
        <f t="shared" ref="H3:H11" si="0">F3*G3</f>
        <v>63536</v>
      </c>
    </row>
    <row r="4" spans="1:8" x14ac:dyDescent="0.25">
      <c r="A4">
        <v>3</v>
      </c>
      <c r="B4" s="3">
        <v>40181</v>
      </c>
      <c r="C4" t="s">
        <v>12</v>
      </c>
      <c r="D4" t="s">
        <v>17</v>
      </c>
      <c r="E4" t="s">
        <v>9</v>
      </c>
      <c r="F4">
        <v>11</v>
      </c>
      <c r="G4">
        <v>4859</v>
      </c>
      <c r="H4">
        <f t="shared" si="0"/>
        <v>53449</v>
      </c>
    </row>
    <row r="5" spans="1:8" x14ac:dyDescent="0.25">
      <c r="A5">
        <v>4</v>
      </c>
      <c r="B5" s="3">
        <v>40182</v>
      </c>
      <c r="C5" t="s">
        <v>11</v>
      </c>
      <c r="D5" t="s">
        <v>18</v>
      </c>
      <c r="E5" t="s">
        <v>9</v>
      </c>
      <c r="F5">
        <v>16</v>
      </c>
      <c r="G5">
        <v>3755</v>
      </c>
      <c r="H5">
        <f t="shared" si="0"/>
        <v>60080</v>
      </c>
    </row>
    <row r="6" spans="1:8" x14ac:dyDescent="0.25">
      <c r="A6">
        <v>5</v>
      </c>
      <c r="B6" s="3">
        <v>40183</v>
      </c>
      <c r="C6" t="s">
        <v>14</v>
      </c>
      <c r="D6" t="s">
        <v>19</v>
      </c>
      <c r="E6" t="s">
        <v>9</v>
      </c>
      <c r="F6">
        <v>17</v>
      </c>
      <c r="G6">
        <v>4545</v>
      </c>
      <c r="H6">
        <f t="shared" si="0"/>
        <v>77265</v>
      </c>
    </row>
    <row r="7" spans="1:8" x14ac:dyDescent="0.25">
      <c r="A7">
        <v>6</v>
      </c>
      <c r="B7" s="3">
        <v>40184</v>
      </c>
      <c r="C7" t="s">
        <v>10</v>
      </c>
      <c r="D7" t="s">
        <v>15</v>
      </c>
      <c r="E7" t="s">
        <v>9</v>
      </c>
      <c r="F7">
        <v>11</v>
      </c>
      <c r="G7">
        <v>4640</v>
      </c>
      <c r="H7">
        <f t="shared" si="0"/>
        <v>51040</v>
      </c>
    </row>
    <row r="8" spans="1:8" x14ac:dyDescent="0.25">
      <c r="A8">
        <v>7</v>
      </c>
      <c r="B8" s="3">
        <v>40185</v>
      </c>
      <c r="C8" t="s">
        <v>8</v>
      </c>
      <c r="D8" t="s">
        <v>16</v>
      </c>
      <c r="E8" t="s">
        <v>9</v>
      </c>
      <c r="F8">
        <v>16</v>
      </c>
      <c r="G8">
        <v>2554</v>
      </c>
      <c r="H8">
        <f t="shared" si="0"/>
        <v>40864</v>
      </c>
    </row>
    <row r="9" spans="1:8" x14ac:dyDescent="0.25">
      <c r="A9">
        <v>8</v>
      </c>
      <c r="B9" s="3">
        <v>40186</v>
      </c>
      <c r="C9" t="s">
        <v>12</v>
      </c>
      <c r="D9" t="s">
        <v>17</v>
      </c>
      <c r="E9" t="s">
        <v>9</v>
      </c>
      <c r="F9">
        <v>18</v>
      </c>
      <c r="G9">
        <v>2221</v>
      </c>
      <c r="H9">
        <f t="shared" si="0"/>
        <v>39978</v>
      </c>
    </row>
    <row r="10" spans="1:8" x14ac:dyDescent="0.25">
      <c r="A10">
        <v>9</v>
      </c>
      <c r="B10" s="3">
        <v>40187</v>
      </c>
      <c r="C10" t="s">
        <v>11</v>
      </c>
      <c r="D10" t="s">
        <v>18</v>
      </c>
      <c r="E10" t="s">
        <v>9</v>
      </c>
      <c r="F10">
        <v>14</v>
      </c>
      <c r="G10">
        <v>3949</v>
      </c>
      <c r="H10">
        <f t="shared" si="0"/>
        <v>55286</v>
      </c>
    </row>
    <row r="11" spans="1:8" x14ac:dyDescent="0.25">
      <c r="A11">
        <v>10</v>
      </c>
      <c r="B11" s="3">
        <v>40188</v>
      </c>
      <c r="C11" t="s">
        <v>14</v>
      </c>
      <c r="D11" t="s">
        <v>19</v>
      </c>
      <c r="E11" t="s">
        <v>9</v>
      </c>
      <c r="F11">
        <v>14</v>
      </c>
      <c r="G11">
        <v>5600</v>
      </c>
      <c r="H11">
        <f t="shared" si="0"/>
        <v>78400</v>
      </c>
    </row>
    <row r="12" spans="1:8" x14ac:dyDescent="0.25">
      <c r="A12">
        <v>11</v>
      </c>
      <c r="B12" s="3">
        <v>40184</v>
      </c>
      <c r="C12" t="s">
        <v>10</v>
      </c>
      <c r="D12" t="s">
        <v>15</v>
      </c>
      <c r="E12" t="s">
        <v>9</v>
      </c>
      <c r="F12">
        <v>11</v>
      </c>
      <c r="G12">
        <v>2366</v>
      </c>
      <c r="H12">
        <f t="shared" ref="H12:H16" si="1">F12*G12</f>
        <v>26026</v>
      </c>
    </row>
    <row r="13" spans="1:8" x14ac:dyDescent="0.25">
      <c r="A13">
        <v>12</v>
      </c>
      <c r="B13" s="3">
        <v>40185</v>
      </c>
      <c r="C13" t="s">
        <v>8</v>
      </c>
      <c r="D13" t="s">
        <v>16</v>
      </c>
      <c r="E13" t="s">
        <v>9</v>
      </c>
      <c r="F13">
        <v>16</v>
      </c>
      <c r="G13">
        <v>4610</v>
      </c>
      <c r="H13">
        <f t="shared" si="1"/>
        <v>73760</v>
      </c>
    </row>
    <row r="14" spans="1:8" x14ac:dyDescent="0.25">
      <c r="A14">
        <v>13</v>
      </c>
      <c r="B14" s="3">
        <v>40186</v>
      </c>
      <c r="C14" t="s">
        <v>12</v>
      </c>
      <c r="D14" t="s">
        <v>17</v>
      </c>
      <c r="E14" t="s">
        <v>9</v>
      </c>
      <c r="F14">
        <v>18</v>
      </c>
      <c r="G14">
        <v>2221</v>
      </c>
      <c r="H14">
        <f t="shared" si="1"/>
        <v>39978</v>
      </c>
    </row>
    <row r="15" spans="1:8" x14ac:dyDescent="0.25">
      <c r="A15">
        <v>14</v>
      </c>
      <c r="B15" s="3">
        <v>40187</v>
      </c>
      <c r="C15" t="s">
        <v>11</v>
      </c>
      <c r="D15" t="s">
        <v>18</v>
      </c>
      <c r="E15" t="s">
        <v>9</v>
      </c>
      <c r="F15">
        <v>14</v>
      </c>
      <c r="G15">
        <v>2533</v>
      </c>
      <c r="H15">
        <f t="shared" si="1"/>
        <v>35462</v>
      </c>
    </row>
    <row r="16" spans="1:8" x14ac:dyDescent="0.25">
      <c r="A16">
        <v>15</v>
      </c>
      <c r="B16" s="3">
        <v>40188</v>
      </c>
      <c r="C16" t="s">
        <v>14</v>
      </c>
      <c r="D16" t="s">
        <v>19</v>
      </c>
      <c r="E16" t="s">
        <v>9</v>
      </c>
      <c r="F16">
        <v>14</v>
      </c>
      <c r="G16">
        <v>4190</v>
      </c>
      <c r="H16">
        <f t="shared" si="1"/>
        <v>58660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2741</v>
      </c>
      <c r="H2">
        <f>F2*G2</f>
        <v>43856</v>
      </c>
    </row>
    <row r="3" spans="1:8" x14ac:dyDescent="0.25">
      <c r="A3">
        <v>2</v>
      </c>
      <c r="B3" s="3">
        <v>40180</v>
      </c>
      <c r="C3" t="s">
        <v>10</v>
      </c>
      <c r="D3" t="s">
        <v>16</v>
      </c>
      <c r="E3" t="s">
        <v>20</v>
      </c>
      <c r="F3">
        <v>11</v>
      </c>
      <c r="G3">
        <v>2722</v>
      </c>
      <c r="H3">
        <f t="shared" ref="H3:H11" si="0">F3*G3</f>
        <v>29942</v>
      </c>
    </row>
    <row r="4" spans="1:8" x14ac:dyDescent="0.25">
      <c r="A4">
        <v>3</v>
      </c>
      <c r="B4" s="3">
        <v>40181</v>
      </c>
      <c r="C4" t="s">
        <v>11</v>
      </c>
      <c r="D4" t="s">
        <v>17</v>
      </c>
      <c r="E4" t="s">
        <v>20</v>
      </c>
      <c r="F4">
        <v>18</v>
      </c>
      <c r="G4">
        <v>2900</v>
      </c>
      <c r="H4">
        <f t="shared" si="0"/>
        <v>52200</v>
      </c>
    </row>
    <row r="5" spans="1:8" x14ac:dyDescent="0.25">
      <c r="A5">
        <v>4</v>
      </c>
      <c r="B5" s="3">
        <v>40182</v>
      </c>
      <c r="C5" t="s">
        <v>12</v>
      </c>
      <c r="D5" t="s">
        <v>18</v>
      </c>
      <c r="E5" t="s">
        <v>20</v>
      </c>
      <c r="F5">
        <v>33</v>
      </c>
      <c r="G5">
        <v>2895</v>
      </c>
      <c r="H5">
        <f t="shared" si="0"/>
        <v>95535</v>
      </c>
    </row>
    <row r="6" spans="1:8" x14ac:dyDescent="0.25">
      <c r="A6">
        <v>5</v>
      </c>
      <c r="B6" s="3">
        <v>40183</v>
      </c>
      <c r="C6" t="s">
        <v>13</v>
      </c>
      <c r="D6" t="s">
        <v>19</v>
      </c>
      <c r="E6" t="s">
        <v>20</v>
      </c>
      <c r="F6">
        <v>10</v>
      </c>
      <c r="G6">
        <v>4569</v>
      </c>
      <c r="H6">
        <f t="shared" si="0"/>
        <v>45690</v>
      </c>
    </row>
    <row r="7" spans="1:8" x14ac:dyDescent="0.25">
      <c r="A7">
        <v>6</v>
      </c>
      <c r="B7" s="3">
        <v>40184</v>
      </c>
      <c r="C7" t="s">
        <v>13</v>
      </c>
      <c r="D7" t="s">
        <v>15</v>
      </c>
      <c r="E7" t="s">
        <v>20</v>
      </c>
      <c r="F7">
        <v>11</v>
      </c>
      <c r="G7">
        <v>3782</v>
      </c>
      <c r="H7">
        <f t="shared" si="0"/>
        <v>41602</v>
      </c>
    </row>
    <row r="8" spans="1:8" x14ac:dyDescent="0.25">
      <c r="A8">
        <v>7</v>
      </c>
      <c r="B8" s="3">
        <v>40185</v>
      </c>
      <c r="C8" t="s">
        <v>10</v>
      </c>
      <c r="D8" t="s">
        <v>16</v>
      </c>
      <c r="E8" t="s">
        <v>20</v>
      </c>
      <c r="F8">
        <v>15</v>
      </c>
      <c r="G8">
        <v>2598</v>
      </c>
      <c r="H8">
        <f t="shared" si="0"/>
        <v>38970</v>
      </c>
    </row>
    <row r="9" spans="1:8" x14ac:dyDescent="0.25">
      <c r="A9">
        <v>8</v>
      </c>
      <c r="B9" s="3">
        <v>40186</v>
      </c>
      <c r="C9" t="s">
        <v>11</v>
      </c>
      <c r="D9" t="s">
        <v>17</v>
      </c>
      <c r="E9" t="s">
        <v>20</v>
      </c>
      <c r="F9">
        <v>12</v>
      </c>
      <c r="G9">
        <v>4729</v>
      </c>
      <c r="H9">
        <f t="shared" si="0"/>
        <v>56748</v>
      </c>
    </row>
    <row r="10" spans="1:8" x14ac:dyDescent="0.25">
      <c r="A10">
        <v>9</v>
      </c>
      <c r="B10" s="3">
        <v>40187</v>
      </c>
      <c r="C10" t="s">
        <v>12</v>
      </c>
      <c r="D10" t="s">
        <v>15</v>
      </c>
      <c r="E10" t="s">
        <v>20</v>
      </c>
      <c r="F10">
        <v>12</v>
      </c>
      <c r="G10">
        <v>4007</v>
      </c>
      <c r="H10">
        <f t="shared" si="0"/>
        <v>48084</v>
      </c>
    </row>
    <row r="11" spans="1:8" x14ac:dyDescent="0.25">
      <c r="A11">
        <v>10</v>
      </c>
      <c r="B11" s="3">
        <v>40188</v>
      </c>
      <c r="C11" t="s">
        <v>13</v>
      </c>
      <c r="D11" t="s">
        <v>19</v>
      </c>
      <c r="E11" t="s">
        <v>20</v>
      </c>
      <c r="F11">
        <v>28</v>
      </c>
      <c r="G11">
        <v>3459</v>
      </c>
      <c r="H11">
        <f t="shared" si="0"/>
        <v>96852</v>
      </c>
    </row>
    <row r="12" spans="1:8" x14ac:dyDescent="0.25">
      <c r="A12">
        <v>11</v>
      </c>
      <c r="B12" s="3">
        <v>40184</v>
      </c>
      <c r="C12" t="s">
        <v>8</v>
      </c>
      <c r="D12" t="s">
        <v>15</v>
      </c>
      <c r="E12" t="s">
        <v>20</v>
      </c>
      <c r="F12">
        <v>11</v>
      </c>
      <c r="G12">
        <v>2541</v>
      </c>
      <c r="H12">
        <f t="shared" ref="H12:H16" si="1">F12*G12</f>
        <v>27951</v>
      </c>
    </row>
    <row r="13" spans="1:8" x14ac:dyDescent="0.25">
      <c r="A13">
        <v>12</v>
      </c>
      <c r="B13" s="3">
        <v>40185</v>
      </c>
      <c r="C13" t="s">
        <v>10</v>
      </c>
      <c r="D13" t="s">
        <v>16</v>
      </c>
      <c r="E13" t="s">
        <v>20</v>
      </c>
      <c r="F13">
        <v>25</v>
      </c>
      <c r="G13">
        <v>3655</v>
      </c>
      <c r="H13">
        <f t="shared" si="1"/>
        <v>91375</v>
      </c>
    </row>
    <row r="14" spans="1:8" x14ac:dyDescent="0.25">
      <c r="A14">
        <v>13</v>
      </c>
      <c r="B14" s="3">
        <v>40186</v>
      </c>
      <c r="C14" t="s">
        <v>11</v>
      </c>
      <c r="D14" t="s">
        <v>17</v>
      </c>
      <c r="E14" t="s">
        <v>20</v>
      </c>
      <c r="F14">
        <v>12</v>
      </c>
      <c r="G14">
        <v>4729</v>
      </c>
      <c r="H14">
        <f t="shared" si="1"/>
        <v>56748</v>
      </c>
    </row>
    <row r="15" spans="1:8" x14ac:dyDescent="0.25">
      <c r="A15">
        <v>14</v>
      </c>
      <c r="B15" s="3">
        <v>40187</v>
      </c>
      <c r="C15" t="s">
        <v>8</v>
      </c>
      <c r="D15" t="s">
        <v>18</v>
      </c>
      <c r="E15" t="s">
        <v>20</v>
      </c>
      <c r="F15">
        <v>12</v>
      </c>
      <c r="G15">
        <v>4007</v>
      </c>
      <c r="H15">
        <f t="shared" si="1"/>
        <v>48084</v>
      </c>
    </row>
    <row r="16" spans="1:8" x14ac:dyDescent="0.25">
      <c r="A16">
        <v>15</v>
      </c>
      <c r="B16" s="3">
        <v>40188</v>
      </c>
      <c r="C16" t="s">
        <v>13</v>
      </c>
      <c r="D16" t="s">
        <v>19</v>
      </c>
      <c r="E16" t="s">
        <v>20</v>
      </c>
      <c r="F16">
        <v>9</v>
      </c>
      <c r="G16">
        <v>4232</v>
      </c>
      <c r="H16">
        <f t="shared" si="1"/>
        <v>38088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H16"/>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40180</v>
      </c>
      <c r="C3" t="s">
        <v>14</v>
      </c>
      <c r="D3" t="s">
        <v>16</v>
      </c>
      <c r="E3" t="s">
        <v>21</v>
      </c>
      <c r="F3">
        <v>18</v>
      </c>
      <c r="G3">
        <v>3809</v>
      </c>
      <c r="H3">
        <f t="shared" ref="H3:H11" si="0">F3*G3</f>
        <v>68562</v>
      </c>
    </row>
    <row r="4" spans="1:8" x14ac:dyDescent="0.25">
      <c r="A4">
        <v>3</v>
      </c>
      <c r="B4" s="3">
        <v>40181</v>
      </c>
      <c r="C4" t="s">
        <v>10</v>
      </c>
      <c r="D4" t="s">
        <v>17</v>
      </c>
      <c r="E4" t="s">
        <v>21</v>
      </c>
      <c r="F4">
        <v>5</v>
      </c>
      <c r="G4">
        <v>4444</v>
      </c>
      <c r="H4">
        <f t="shared" si="0"/>
        <v>22220</v>
      </c>
    </row>
    <row r="5" spans="1:8" x14ac:dyDescent="0.25">
      <c r="A5">
        <v>4</v>
      </c>
      <c r="B5" s="3">
        <v>40182</v>
      </c>
      <c r="C5" t="s">
        <v>8</v>
      </c>
      <c r="D5" t="s">
        <v>18</v>
      </c>
      <c r="E5" t="s">
        <v>21</v>
      </c>
      <c r="F5">
        <v>10</v>
      </c>
      <c r="G5">
        <v>2346</v>
      </c>
      <c r="H5">
        <f t="shared" si="0"/>
        <v>23460</v>
      </c>
    </row>
    <row r="6" spans="1:8" x14ac:dyDescent="0.25">
      <c r="A6">
        <v>5</v>
      </c>
      <c r="B6" s="3">
        <v>40183</v>
      </c>
      <c r="C6" t="s">
        <v>8</v>
      </c>
      <c r="D6" t="s">
        <v>19</v>
      </c>
      <c r="E6" t="s">
        <v>21</v>
      </c>
      <c r="F6">
        <v>8</v>
      </c>
      <c r="G6">
        <v>4953</v>
      </c>
      <c r="H6">
        <f t="shared" si="0"/>
        <v>39624</v>
      </c>
    </row>
    <row r="7" spans="1:8" x14ac:dyDescent="0.25">
      <c r="A7">
        <v>6</v>
      </c>
      <c r="B7" s="3">
        <v>40184</v>
      </c>
      <c r="C7" t="s">
        <v>11</v>
      </c>
      <c r="D7" t="s">
        <v>15</v>
      </c>
      <c r="E7" t="s">
        <v>21</v>
      </c>
      <c r="F7">
        <v>18</v>
      </c>
      <c r="G7">
        <v>3222</v>
      </c>
      <c r="H7">
        <f t="shared" si="0"/>
        <v>57996</v>
      </c>
    </row>
    <row r="8" spans="1:8" x14ac:dyDescent="0.25">
      <c r="A8">
        <v>7</v>
      </c>
      <c r="B8" s="3">
        <v>40185</v>
      </c>
      <c r="C8" t="s">
        <v>14</v>
      </c>
      <c r="D8" t="s">
        <v>16</v>
      </c>
      <c r="E8" t="s">
        <v>21</v>
      </c>
      <c r="F8">
        <v>12</v>
      </c>
      <c r="G8">
        <v>2531</v>
      </c>
      <c r="H8">
        <f t="shared" si="0"/>
        <v>30372</v>
      </c>
    </row>
    <row r="9" spans="1:8" x14ac:dyDescent="0.25">
      <c r="A9">
        <v>8</v>
      </c>
      <c r="B9" s="3">
        <v>40186</v>
      </c>
      <c r="C9" t="s">
        <v>10</v>
      </c>
      <c r="D9" t="s">
        <v>17</v>
      </c>
      <c r="E9" t="s">
        <v>21</v>
      </c>
      <c r="F9">
        <v>13</v>
      </c>
      <c r="G9">
        <v>7474</v>
      </c>
      <c r="H9">
        <f t="shared" si="0"/>
        <v>97162</v>
      </c>
    </row>
    <row r="10" spans="1:8" x14ac:dyDescent="0.25">
      <c r="A10">
        <v>9</v>
      </c>
      <c r="B10" s="3">
        <v>40187</v>
      </c>
      <c r="C10" t="s">
        <v>8</v>
      </c>
      <c r="D10" t="s">
        <v>18</v>
      </c>
      <c r="E10" t="s">
        <v>21</v>
      </c>
      <c r="F10">
        <v>11</v>
      </c>
      <c r="G10">
        <v>2806</v>
      </c>
      <c r="H10">
        <f t="shared" si="0"/>
        <v>30866</v>
      </c>
    </row>
    <row r="11" spans="1:8" x14ac:dyDescent="0.25">
      <c r="A11">
        <v>10</v>
      </c>
      <c r="B11" s="3">
        <v>40188</v>
      </c>
      <c r="C11" t="s">
        <v>8</v>
      </c>
      <c r="D11" t="s">
        <v>19</v>
      </c>
      <c r="E11" t="s">
        <v>21</v>
      </c>
      <c r="F11">
        <v>5</v>
      </c>
      <c r="G11">
        <v>3350</v>
      </c>
      <c r="H11">
        <f t="shared" si="0"/>
        <v>16750</v>
      </c>
    </row>
    <row r="12" spans="1:8" x14ac:dyDescent="0.25">
      <c r="A12">
        <v>11</v>
      </c>
      <c r="B12" s="3">
        <v>40184</v>
      </c>
      <c r="C12" t="s">
        <v>11</v>
      </c>
      <c r="D12" t="s">
        <v>15</v>
      </c>
      <c r="E12" t="s">
        <v>21</v>
      </c>
      <c r="F12">
        <v>25</v>
      </c>
      <c r="G12">
        <v>3255</v>
      </c>
      <c r="H12">
        <f t="shared" ref="H12:H16" si="1">F12*G12</f>
        <v>81375</v>
      </c>
    </row>
    <row r="13" spans="1:8" x14ac:dyDescent="0.25">
      <c r="A13">
        <v>12</v>
      </c>
      <c r="B13" s="3">
        <v>40185</v>
      </c>
      <c r="C13" t="s">
        <v>14</v>
      </c>
      <c r="D13" t="s">
        <v>16</v>
      </c>
      <c r="E13" t="s">
        <v>21</v>
      </c>
      <c r="F13">
        <v>15</v>
      </c>
      <c r="G13">
        <v>847</v>
      </c>
      <c r="H13">
        <f t="shared" si="1"/>
        <v>12705</v>
      </c>
    </row>
    <row r="14" spans="1:8" x14ac:dyDescent="0.25">
      <c r="A14">
        <v>13</v>
      </c>
      <c r="B14" s="3">
        <v>40186</v>
      </c>
      <c r="C14" t="s">
        <v>10</v>
      </c>
      <c r="D14" t="s">
        <v>17</v>
      </c>
      <c r="E14" t="s">
        <v>21</v>
      </c>
      <c r="F14">
        <v>14</v>
      </c>
      <c r="G14">
        <v>4716</v>
      </c>
      <c r="H14">
        <f t="shared" si="1"/>
        <v>66024</v>
      </c>
    </row>
    <row r="15" spans="1:8" x14ac:dyDescent="0.25">
      <c r="A15">
        <v>14</v>
      </c>
      <c r="B15" s="3">
        <v>40187</v>
      </c>
      <c r="C15" t="s">
        <v>8</v>
      </c>
      <c r="D15" t="s">
        <v>18</v>
      </c>
      <c r="E15" t="s">
        <v>21</v>
      </c>
      <c r="F15">
        <v>11</v>
      </c>
      <c r="G15">
        <v>2806</v>
      </c>
      <c r="H15">
        <f t="shared" si="1"/>
        <v>30866</v>
      </c>
    </row>
    <row r="16" spans="1:8" x14ac:dyDescent="0.25">
      <c r="A16">
        <v>15</v>
      </c>
      <c r="B16" s="3">
        <v>40188</v>
      </c>
      <c r="C16" t="s">
        <v>8</v>
      </c>
      <c r="D16" t="s">
        <v>19</v>
      </c>
      <c r="E16" t="s">
        <v>21</v>
      </c>
      <c r="F16">
        <v>5</v>
      </c>
      <c r="G16">
        <v>5555</v>
      </c>
      <c r="H16">
        <f t="shared" si="1"/>
        <v>27775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7"/>
  <sheetViews>
    <sheetView workbookViewId="0">
      <selection activeCell="A2" sqref="A2:H17"/>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40180</v>
      </c>
      <c r="C3" t="s">
        <v>12</v>
      </c>
      <c r="D3" t="s">
        <v>16</v>
      </c>
      <c r="E3" t="s">
        <v>22</v>
      </c>
      <c r="F3">
        <v>17</v>
      </c>
      <c r="G3">
        <v>4245</v>
      </c>
      <c r="H3">
        <f t="shared" ref="H3:H11" si="0">F3*G3</f>
        <v>72165</v>
      </c>
    </row>
    <row r="4" spans="1:8" x14ac:dyDescent="0.25">
      <c r="A4">
        <v>3</v>
      </c>
      <c r="B4" s="3">
        <v>40181</v>
      </c>
      <c r="C4" t="s">
        <v>13</v>
      </c>
      <c r="D4" t="s">
        <v>17</v>
      </c>
      <c r="E4" t="s">
        <v>22</v>
      </c>
      <c r="F4">
        <v>5</v>
      </c>
      <c r="G4">
        <v>4864</v>
      </c>
      <c r="H4">
        <f t="shared" si="0"/>
        <v>24320</v>
      </c>
    </row>
    <row r="5" spans="1:8" x14ac:dyDescent="0.25">
      <c r="A5">
        <v>4</v>
      </c>
      <c r="B5" s="3">
        <v>40182</v>
      </c>
      <c r="C5" t="s">
        <v>13</v>
      </c>
      <c r="D5" t="s">
        <v>18</v>
      </c>
      <c r="E5" t="s">
        <v>22</v>
      </c>
      <c r="F5">
        <v>6</v>
      </c>
      <c r="G5">
        <v>2381</v>
      </c>
      <c r="H5">
        <f t="shared" si="0"/>
        <v>14286</v>
      </c>
    </row>
    <row r="6" spans="1:8" x14ac:dyDescent="0.25">
      <c r="A6">
        <v>5</v>
      </c>
      <c r="B6" s="3">
        <v>40183</v>
      </c>
      <c r="C6" t="s">
        <v>8</v>
      </c>
      <c r="D6" t="s">
        <v>19</v>
      </c>
      <c r="E6" t="s">
        <v>22</v>
      </c>
      <c r="F6">
        <v>10</v>
      </c>
      <c r="G6">
        <v>3503</v>
      </c>
      <c r="H6">
        <f t="shared" si="0"/>
        <v>35030</v>
      </c>
    </row>
    <row r="7" spans="1:8" x14ac:dyDescent="0.25">
      <c r="A7">
        <v>6</v>
      </c>
      <c r="B7" s="3">
        <v>40184</v>
      </c>
      <c r="C7" t="s">
        <v>13</v>
      </c>
      <c r="D7" t="s">
        <v>15</v>
      </c>
      <c r="E7" t="s">
        <v>22</v>
      </c>
      <c r="F7">
        <v>5</v>
      </c>
      <c r="G7">
        <v>3176</v>
      </c>
      <c r="H7">
        <f t="shared" si="0"/>
        <v>15880</v>
      </c>
    </row>
    <row r="8" spans="1:8" x14ac:dyDescent="0.25">
      <c r="A8">
        <v>7</v>
      </c>
      <c r="B8" s="3">
        <v>40185</v>
      </c>
      <c r="C8" t="s">
        <v>12</v>
      </c>
      <c r="D8" t="s">
        <v>16</v>
      </c>
      <c r="E8" t="s">
        <v>22</v>
      </c>
      <c r="F8">
        <v>12</v>
      </c>
      <c r="G8">
        <v>4192</v>
      </c>
      <c r="H8">
        <f t="shared" si="0"/>
        <v>50304</v>
      </c>
    </row>
    <row r="9" spans="1:8" x14ac:dyDescent="0.25">
      <c r="A9">
        <v>8</v>
      </c>
      <c r="B9" s="3">
        <v>40186</v>
      </c>
      <c r="C9" t="s">
        <v>13</v>
      </c>
      <c r="D9" t="s">
        <v>19</v>
      </c>
      <c r="E9" t="s">
        <v>22</v>
      </c>
      <c r="F9">
        <v>2</v>
      </c>
      <c r="G9">
        <v>4793</v>
      </c>
      <c r="H9">
        <f t="shared" si="0"/>
        <v>9586</v>
      </c>
    </row>
    <row r="10" spans="1:8" x14ac:dyDescent="0.25">
      <c r="A10">
        <v>9</v>
      </c>
      <c r="B10" s="3">
        <v>40187</v>
      </c>
      <c r="C10" t="s">
        <v>13</v>
      </c>
      <c r="D10" t="s">
        <v>18</v>
      </c>
      <c r="E10" t="s">
        <v>22</v>
      </c>
      <c r="F10">
        <v>5</v>
      </c>
      <c r="G10">
        <v>2204</v>
      </c>
      <c r="H10">
        <f t="shared" si="0"/>
        <v>11020</v>
      </c>
    </row>
    <row r="11" spans="1:8" x14ac:dyDescent="0.25">
      <c r="A11">
        <v>10</v>
      </c>
      <c r="B11" s="3">
        <v>40188</v>
      </c>
      <c r="C11" t="s">
        <v>11</v>
      </c>
      <c r="D11" t="s">
        <v>19</v>
      </c>
      <c r="E11" t="s">
        <v>22</v>
      </c>
      <c r="F11">
        <v>18</v>
      </c>
      <c r="G11">
        <v>4183</v>
      </c>
      <c r="H11">
        <f t="shared" si="0"/>
        <v>75294</v>
      </c>
    </row>
    <row r="12" spans="1:8" x14ac:dyDescent="0.25">
      <c r="A12">
        <v>11</v>
      </c>
      <c r="B12" s="3">
        <v>40183</v>
      </c>
      <c r="C12" t="s">
        <v>11</v>
      </c>
      <c r="D12" t="s">
        <v>19</v>
      </c>
      <c r="E12" t="s">
        <v>22</v>
      </c>
      <c r="F12">
        <v>10</v>
      </c>
      <c r="G12">
        <v>3503</v>
      </c>
      <c r="H12">
        <f t="shared" ref="H12:H17" si="1">F12*G12</f>
        <v>35030</v>
      </c>
    </row>
    <row r="13" spans="1:8" x14ac:dyDescent="0.25">
      <c r="A13">
        <v>12</v>
      </c>
      <c r="B13" s="3">
        <v>40184</v>
      </c>
      <c r="C13" t="s">
        <v>10</v>
      </c>
      <c r="D13" t="s">
        <v>15</v>
      </c>
      <c r="E13" t="s">
        <v>22</v>
      </c>
      <c r="F13">
        <v>5</v>
      </c>
      <c r="G13">
        <v>3333</v>
      </c>
      <c r="H13">
        <f t="shared" si="1"/>
        <v>16665</v>
      </c>
    </row>
    <row r="14" spans="1:8" x14ac:dyDescent="0.25">
      <c r="A14">
        <v>13</v>
      </c>
      <c r="B14" s="3">
        <v>40185</v>
      </c>
      <c r="C14" t="s">
        <v>12</v>
      </c>
      <c r="D14" t="s">
        <v>16</v>
      </c>
      <c r="E14" t="s">
        <v>22</v>
      </c>
      <c r="F14">
        <v>12</v>
      </c>
      <c r="G14">
        <v>4192</v>
      </c>
      <c r="H14">
        <f t="shared" si="1"/>
        <v>50304</v>
      </c>
    </row>
    <row r="15" spans="1:8" x14ac:dyDescent="0.25">
      <c r="A15">
        <v>14</v>
      </c>
      <c r="B15" s="3">
        <v>40186</v>
      </c>
      <c r="C15" t="s">
        <v>13</v>
      </c>
      <c r="D15" t="s">
        <v>17</v>
      </c>
      <c r="E15" t="s">
        <v>22</v>
      </c>
      <c r="F15">
        <v>2</v>
      </c>
      <c r="G15">
        <v>4793</v>
      </c>
      <c r="H15">
        <f t="shared" si="1"/>
        <v>9586</v>
      </c>
    </row>
    <row r="16" spans="1:8" x14ac:dyDescent="0.25">
      <c r="A16">
        <v>15</v>
      </c>
      <c r="B16" s="3">
        <v>40187</v>
      </c>
      <c r="C16" t="s">
        <v>13</v>
      </c>
      <c r="D16" t="s">
        <v>18</v>
      </c>
      <c r="E16" t="s">
        <v>22</v>
      </c>
      <c r="F16">
        <v>5</v>
      </c>
      <c r="G16">
        <v>2204</v>
      </c>
      <c r="H16">
        <f t="shared" si="1"/>
        <v>11020</v>
      </c>
    </row>
    <row r="17" spans="1:8" x14ac:dyDescent="0.25">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Info</vt:lpstr>
      <vt:lpstr>Data</vt:lpstr>
      <vt:lpstr>East</vt:lpstr>
      <vt:lpstr>West</vt:lpstr>
      <vt:lpstr>South</vt:lpstr>
      <vt:lpstr>North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MISHAEL THOMAS</cp:lastModifiedBy>
  <dcterms:created xsi:type="dcterms:W3CDTF">2020-07-03T08:10:56Z</dcterms:created>
  <dcterms:modified xsi:type="dcterms:W3CDTF">2020-11-30T17:13:06Z</dcterms:modified>
</cp:coreProperties>
</file>